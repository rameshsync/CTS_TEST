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Testing plan and scenarios for Sprint 1 &amp; 2/"/>
    </mc:Choice>
  </mc:AlternateContent>
  <xr:revisionPtr revIDLastSave="1896" documentId="8_{0EEAFE39-2EED-43C7-A2B6-A0534402E035}" xr6:coauthVersionLast="47" xr6:coauthVersionMax="47" xr10:uidLastSave="{DC10C774-AB19-4EF8-AABD-EE76CBD4AE79}"/>
  <bookViews>
    <workbookView xWindow="-110" yWindow="-110" windowWidth="19420" windowHeight="10300" tabRatio="821" firstSheet="6" activeTab="11" xr2:uid="{6D070942-AF9E-4E47-AEFA-73D2276E1F49}"/>
  </bookViews>
  <sheets>
    <sheet name="Sheet1" sheetId="1" state="hidden" r:id="rId1"/>
    <sheet name="Test Plan" sheetId="2" r:id="rId2"/>
    <sheet name="Sprint 1" sheetId="5" r:id="rId3"/>
    <sheet name="Sprint 2" sheetId="8" r:id="rId4"/>
    <sheet name="TC Count estimates" sheetId="11" r:id="rId5"/>
    <sheet name="Resource estimations" sheetId="9" r:id="rId6"/>
    <sheet name="Resource plan" sheetId="10" r:id="rId7"/>
    <sheet name="Score card" sheetId="15" r:id="rId8"/>
    <sheet name="Action items" sheetId="12" r:id="rId9"/>
    <sheet name="Playwright training&amp;script plan" sheetId="14" r:id="rId10"/>
    <sheet name="Sheet3" sheetId="13" r:id="rId11"/>
    <sheet name="Sprint level data" sheetId="1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6" l="1"/>
  <c r="G18" i="16"/>
  <c r="F18" i="16"/>
  <c r="E18" i="16"/>
  <c r="D18" i="16"/>
  <c r="C18" i="16"/>
  <c r="J16" i="16"/>
  <c r="J15" i="16"/>
  <c r="J14" i="16"/>
  <c r="D6" i="16"/>
  <c r="D12" i="16"/>
  <c r="E6" i="16"/>
  <c r="E12" i="16"/>
  <c r="J10" i="16"/>
  <c r="J9" i="16"/>
  <c r="J8" i="16"/>
  <c r="H12" i="16"/>
  <c r="G12" i="16"/>
  <c r="F12" i="16"/>
  <c r="C12" i="16"/>
  <c r="J18" i="16" l="1"/>
  <c r="J12" i="16"/>
  <c r="J4" i="16"/>
  <c r="J3" i="16"/>
  <c r="J2" i="16"/>
  <c r="H6" i="16" l="1"/>
  <c r="G6" i="16"/>
  <c r="F6" i="16"/>
  <c r="C6" i="16"/>
  <c r="J6" i="16" s="1"/>
  <c r="F10" i="9"/>
  <c r="F5" i="9"/>
  <c r="F9" i="9"/>
  <c r="F8" i="9"/>
  <c r="F7" i="9"/>
  <c r="F4" i="9"/>
  <c r="F3" i="9"/>
  <c r="F2" i="9"/>
  <c r="E36" i="11"/>
  <c r="E28" i="11"/>
  <c r="E22" i="11"/>
  <c r="E15" i="11"/>
  <c r="E7" i="11"/>
  <c r="E2" i="11"/>
</calcChain>
</file>

<file path=xl/sharedStrings.xml><?xml version="1.0" encoding="utf-8"?>
<sst xmlns="http://schemas.openxmlformats.org/spreadsheetml/2006/main" count="795" uniqueCount="449">
  <si>
    <t>Sprint</t>
  </si>
  <si>
    <t>Duration</t>
  </si>
  <si>
    <t>Work stream</t>
  </si>
  <si>
    <t>User stories</t>
  </si>
  <si>
    <t>Week</t>
  </si>
  <si>
    <t xml:space="preserve">Testing activities </t>
  </si>
  <si>
    <t>Detailed activities</t>
  </si>
  <si>
    <t>Dependencies</t>
  </si>
  <si>
    <t>Resources</t>
  </si>
  <si>
    <t>Sprint 1</t>
  </si>
  <si>
    <t>Aug 26 - Sep 26</t>
  </si>
  <si>
    <t>Policy center</t>
  </si>
  <si>
    <t>US D&amp;O Product Model Setup</t>
  </si>
  <si>
    <t>Week 1</t>
  </si>
  <si>
    <t>Sanity test</t>
  </si>
  <si>
    <t>Create data in CSV format for the kinds of products (List). -&gt; Load it through ADL in GW-&gt;  Create test cases for data retrival in GW- Role based scenarios- Relationships</t>
  </si>
  <si>
    <t>LOB product data
Environment- SIT 1</t>
  </si>
  <si>
    <t>SI</t>
  </si>
  <si>
    <t>INT- Expose Product Model Definition service</t>
  </si>
  <si>
    <t>Test design</t>
  </si>
  <si>
    <t>Test the API- Request &amp; response</t>
  </si>
  <si>
    <t>Data- Synthetic- YAML/ JSON requests, Stub, End point</t>
  </si>
  <si>
    <t>KA</t>
  </si>
  <si>
    <t>Create Account via Integration</t>
  </si>
  <si>
    <t>Test execution</t>
  </si>
  <si>
    <t>Account creation scenarios/ combinations- Policy holders-(Joint)- Roles-&gt; Address look up-&gt; Positive &amp; negative</t>
  </si>
  <si>
    <t>GW instance</t>
  </si>
  <si>
    <t>NS</t>
  </si>
  <si>
    <t>Update Account via Integration</t>
  </si>
  <si>
    <t>Reports</t>
  </si>
  <si>
    <t>Updation scenario combinations-&gt; changes to criteria- status- Validate the request &amp; response</t>
  </si>
  <si>
    <t>JIRA Dashboard</t>
  </si>
  <si>
    <t>MS</t>
  </si>
  <si>
    <t>View and Manage Account Summary</t>
  </si>
  <si>
    <t>Defects</t>
  </si>
  <si>
    <t>Change view, save and retrive scenarios</t>
  </si>
  <si>
    <t>Jira set up</t>
  </si>
  <si>
    <t>LM</t>
  </si>
  <si>
    <t>Create New Submission – Point of Clearance</t>
  </si>
  <si>
    <t>New submission - Pre UW workbench- Quote Binding scenarios-</t>
  </si>
  <si>
    <t>Data injestion to guidewire</t>
  </si>
  <si>
    <t>Billing Center</t>
  </si>
  <si>
    <t>Environment- SIT 1</t>
  </si>
  <si>
    <t>Data- Synthetic</t>
  </si>
  <si>
    <t>Integrations</t>
  </si>
  <si>
    <t>Sprint 2</t>
  </si>
  <si>
    <t>Test Scenarios</t>
  </si>
  <si>
    <t>Aug 26 - Sep 25</t>
  </si>
  <si>
    <t>Refer US - PC, BC &amp; Integrations</t>
  </si>
  <si>
    <t>Refer Test scenarios sheet -  PC, BC &amp; Integrations</t>
  </si>
  <si>
    <t>LOB product data load (ADL)
Environment- SIT 1
HLD Design
E2E arch.
User stories elaborations &amp; Sign off
JIRA set up / Estimations
Resource / Capacity planning &amp; onboarding
Test Data creation
Integration stubs, End points, Token ID</t>
  </si>
  <si>
    <t>Week 1 &amp; 2</t>
  </si>
  <si>
    <t>Week 3 &amp; 4</t>
  </si>
  <si>
    <t>Sep 26 - Oct 25</t>
  </si>
  <si>
    <t>Functionalties to be tested</t>
  </si>
  <si>
    <t>Details (To be validated)</t>
  </si>
  <si>
    <t>Clarifications</t>
  </si>
  <si>
    <t xml:space="preserve">As Product Manager, </t>
  </si>
  <si>
    <r>
      <t xml:space="preserve">1.US Admitted Vendors - BICI - </t>
    </r>
    <r>
      <rPr>
        <b/>
        <sz val="11"/>
        <color theme="1"/>
        <rFont val="Calibri"/>
        <family val="2"/>
        <scheme val="minor"/>
      </rPr>
      <t xml:space="preserve">All the 5 products are applicable.
</t>
    </r>
    <r>
      <rPr>
        <sz val="11"/>
        <color theme="1"/>
        <rFont val="Calibri"/>
        <family val="2"/>
        <scheme val="minor"/>
      </rPr>
      <t xml:space="preserve">2. US Admitted Vendors - BAIC </t>
    </r>
    <r>
      <rPr>
        <b/>
        <sz val="11"/>
        <color theme="1"/>
        <rFont val="Calibri"/>
        <family val="2"/>
        <scheme val="minor"/>
      </rPr>
      <t>- Applicable to only one product (Beazley Boardroom Protect (US ML ))</t>
    </r>
    <r>
      <rPr>
        <sz val="11"/>
        <color theme="1"/>
        <rFont val="Calibri"/>
        <family val="2"/>
        <scheme val="minor"/>
      </rPr>
      <t xml:space="preserve">
3. US Surplus Vendors - BESI  - </t>
    </r>
    <r>
      <rPr>
        <b/>
        <sz val="11"/>
        <color theme="1"/>
        <rFont val="Calibri"/>
        <family val="2"/>
        <scheme val="minor"/>
      </rPr>
      <t>All the 5 products are applicable.</t>
    </r>
    <r>
      <rPr>
        <sz val="11"/>
        <color theme="1"/>
        <rFont val="Calibri"/>
        <family val="2"/>
        <scheme val="minor"/>
      </rPr>
      <t xml:space="preserve">
4. US Surplus Vendors - BUSA - </t>
    </r>
    <r>
      <rPr>
        <b/>
        <sz val="11"/>
        <color theme="1"/>
        <rFont val="Calibri"/>
        <family val="2"/>
        <scheme val="minor"/>
      </rPr>
      <t>Applicable to 4 products (Not applicable to " Beazley Boardroom Protect (US ML )"</t>
    </r>
  </si>
  <si>
    <r>
      <t xml:space="preserve">1. APD - Reduced to 3 products.(waiting for updated Product model). Test sceanarios reviewed </t>
    </r>
    <r>
      <rPr>
        <sz val="11"/>
        <rFont val="Calibri"/>
        <family val="2"/>
        <scheme val="minor"/>
      </rPr>
      <t xml:space="preserve">with Ramesh.  APD and ADL will be deployed to test envi. by the start of Sprint 1. 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2. Envi. - SIT 1</t>
    </r>
    <r>
      <rPr>
        <sz val="11"/>
        <color theme="1"/>
        <rFont val="Calibri"/>
        <family val="2"/>
        <scheme val="minor"/>
      </rPr>
      <t xml:space="preserve"> - Refer Envi. readyness tracker
3. Product model check list - </t>
    </r>
    <r>
      <rPr>
        <sz val="11"/>
        <color rgb="FFFF0000"/>
        <rFont val="Calibri"/>
        <family val="2"/>
        <scheme val="minor"/>
      </rPr>
      <t>Review with Peter.</t>
    </r>
    <r>
      <rPr>
        <sz val="11"/>
        <color theme="1"/>
        <rFont val="Calibri"/>
        <family val="2"/>
        <scheme val="minor"/>
      </rPr>
      <t xml:space="preserve">
4</t>
    </r>
    <r>
      <rPr>
        <sz val="11"/>
        <color rgb="FFFFC000"/>
        <rFont val="Calibri"/>
        <family val="2"/>
        <scheme val="minor"/>
      </rPr>
      <t xml:space="preserve">. </t>
    </r>
    <r>
      <rPr>
        <sz val="11"/>
        <rFont val="Calibri"/>
        <family val="2"/>
        <scheme val="minor"/>
      </rPr>
      <t xml:space="preserve">Test scenarios - High level design </t>
    </r>
    <r>
      <rPr>
        <sz val="11"/>
        <color theme="1"/>
        <rFont val="Calibri"/>
        <family val="2"/>
        <scheme val="minor"/>
      </rPr>
      <t xml:space="preserve">
5. Test execution - </t>
    </r>
    <r>
      <rPr>
        <sz val="11"/>
        <color rgb="FF00B050"/>
        <rFont val="Calibri"/>
        <family val="2"/>
        <scheme val="minor"/>
      </rPr>
      <t>Verify JIRA</t>
    </r>
    <r>
      <rPr>
        <sz val="11"/>
        <color rgb="FFFF0000"/>
        <rFont val="Calibri"/>
        <family val="2"/>
        <scheme val="minor"/>
      </rPr>
      <t xml:space="preserve"> ,  </t>
    </r>
    <r>
      <rPr>
        <sz val="11"/>
        <rFont val="Calibri"/>
        <family val="2"/>
        <scheme val="minor"/>
      </rPr>
      <t>GT Framework /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SOAP UI, </t>
    </r>
    <r>
      <rPr>
        <sz val="11"/>
        <color rgb="FFFF0000"/>
        <rFont val="Calibri"/>
        <family val="2"/>
        <scheme val="minor"/>
      </rPr>
      <t>Test a scenario</t>
    </r>
    <r>
      <rPr>
        <sz val="1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Test dash boards.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FFC000"/>
        <rFont val="Calibri"/>
        <family val="2"/>
        <scheme val="minor"/>
      </rPr>
      <t>6. Anil (PC), Anchal (BC), Sai Keerthi (Integration) - Test scenario walkthrough</t>
    </r>
  </si>
  <si>
    <t>There are 16 User stories for Product model set up - All these 16 user stories are part of Sprint 1?</t>
  </si>
  <si>
    <t>1. Able to find product</t>
  </si>
  <si>
    <t>There are 5 products.
1. Advanced Boardroom and Company (US ML ) - 
2. Beazley Boardroom Protect (US ML )
3. Beazley Armour  (Armour Boardroom Protect) (US ML &amp;  DIC)
4. Beazley Execuguard (US ML)
5. Excess 2014 (Excess product) (Excess)</t>
  </si>
  <si>
    <t>1. Finalized Product rationalization sheet. 
2. Product document of Guidewire "K" version for reference.(OOTB UI referense, shall we get UI mock up screenshots)
3. Field level mapping document - (Legacy Beazley Pro vs GWPC)</t>
  </si>
  <si>
    <t>2. Ability to define Policy line</t>
  </si>
  <si>
    <t>What is the Policy line for each product?</t>
  </si>
  <si>
    <t>3. Ability to define coverages</t>
  </si>
  <si>
    <r>
      <rPr>
        <b/>
        <u/>
        <sz val="11"/>
        <color theme="1"/>
        <rFont val="Calibri"/>
        <family val="2"/>
        <scheme val="minor"/>
      </rPr>
      <t xml:space="preserve">Coverages: </t>
    </r>
    <r>
      <rPr>
        <sz val="11"/>
        <color theme="1"/>
        <rFont val="Calibri"/>
        <family val="2"/>
        <scheme val="minor"/>
      </rPr>
      <t xml:space="preserve">Total 13 coveragest.
1. Insd Person Liability - Side A  - </t>
    </r>
    <r>
      <rPr>
        <b/>
        <sz val="11"/>
        <color theme="1"/>
        <rFont val="Calibri"/>
        <family val="2"/>
        <scheme val="minor"/>
      </rPr>
      <t>Applicable to all the 5 products.</t>
    </r>
    <r>
      <rPr>
        <sz val="11"/>
        <color theme="1"/>
        <rFont val="Calibri"/>
        <family val="2"/>
        <scheme val="minor"/>
      </rPr>
      <t xml:space="preserve">
2, Insd Org Reimbursement - Side B - </t>
    </r>
    <r>
      <rPr>
        <b/>
        <sz val="11"/>
        <color theme="1"/>
        <rFont val="Calibri"/>
        <family val="2"/>
        <scheme val="minor"/>
      </rPr>
      <t>Applicable to 4 products (otherthan "Beazley Armour  (Armour Boardroom Protect) (US ML &amp;  DIC)"</t>
    </r>
    <r>
      <rPr>
        <sz val="11"/>
        <color theme="1"/>
        <rFont val="Calibri"/>
        <family val="2"/>
        <scheme val="minor"/>
      </rPr>
      <t xml:space="preserve">
3. Insured Organization Liab - Side C - </t>
    </r>
    <r>
      <rPr>
        <b/>
        <sz val="11"/>
        <color theme="1"/>
        <rFont val="Calibri"/>
        <family val="2"/>
        <scheme val="minor"/>
      </rPr>
      <t>Applicable to 3 products only (Products 1, 2 and 5)</t>
    </r>
    <r>
      <rPr>
        <sz val="11"/>
        <color theme="1"/>
        <rFont val="Calibri"/>
        <family val="2"/>
        <scheme val="minor"/>
      </rPr>
      <t xml:space="preserve">
4. Cyber, Crime and PI - </t>
    </r>
    <r>
      <rPr>
        <b/>
        <sz val="11"/>
        <color theme="1"/>
        <rFont val="Calibri"/>
        <family val="2"/>
        <scheme val="minor"/>
      </rPr>
      <t xml:space="preserve">These coverages are not applicable to any product. </t>
    </r>
    <r>
      <rPr>
        <sz val="11"/>
        <color theme="1"/>
        <rFont val="Calibri"/>
        <family val="2"/>
        <scheme val="minor"/>
      </rPr>
      <t xml:space="preserve">
5. Outside Directors Liability Cover - </t>
    </r>
    <r>
      <rPr>
        <b/>
        <sz val="11"/>
        <color theme="1"/>
        <rFont val="Calibri"/>
        <family val="2"/>
        <scheme val="minor"/>
      </rPr>
      <t>Applicable to 3 products only (Products 1, 2 and 5)</t>
    </r>
    <r>
      <rPr>
        <sz val="11"/>
        <color theme="1"/>
        <rFont val="Calibri"/>
        <family val="2"/>
        <scheme val="minor"/>
      </rPr>
      <t xml:space="preserve">
6. Corporate Legal Liability (CLL) - </t>
    </r>
    <r>
      <rPr>
        <b/>
        <sz val="11"/>
        <color theme="1"/>
        <rFont val="Calibri"/>
        <family val="2"/>
        <scheme val="minor"/>
      </rPr>
      <t xml:space="preserve">Not applicable to any product. </t>
    </r>
    <r>
      <rPr>
        <sz val="11"/>
        <color theme="1"/>
        <rFont val="Calibri"/>
        <family val="2"/>
        <scheme val="minor"/>
      </rPr>
      <t xml:space="preserve">
7. Commercial Crime - </t>
    </r>
    <r>
      <rPr>
        <b/>
        <sz val="11"/>
        <color theme="1"/>
        <rFont val="Calibri"/>
        <family val="2"/>
        <scheme val="minor"/>
      </rPr>
      <t>Applicable to only one product (Product# 3)</t>
    </r>
    <r>
      <rPr>
        <sz val="11"/>
        <color theme="1"/>
        <rFont val="Calibri"/>
        <family val="2"/>
        <scheme val="minor"/>
      </rPr>
      <t xml:space="preserve">
8. EPL &amp; PTL / Fiduciary -</t>
    </r>
    <r>
      <rPr>
        <b/>
        <sz val="11"/>
        <color theme="1"/>
        <rFont val="Calibri"/>
        <family val="2"/>
        <scheme val="minor"/>
      </rPr>
      <t xml:space="preserve"> Applicable to 2 Products (Product# 4 and 5)</t>
    </r>
    <r>
      <rPr>
        <sz val="11"/>
        <color theme="1"/>
        <rFont val="Calibri"/>
        <family val="2"/>
        <scheme val="minor"/>
      </rPr>
      <t xml:space="preserve">
8. Public Offereing of Securities Insurance &amp; Regulatory Liability - </t>
    </r>
    <r>
      <rPr>
        <b/>
        <sz val="11"/>
        <color theme="1"/>
        <rFont val="Calibri"/>
        <family val="2"/>
        <scheme val="minor"/>
      </rPr>
      <t>Not applicable to any product.</t>
    </r>
    <r>
      <rPr>
        <sz val="11"/>
        <color theme="1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>Additional Coverages:</t>
    </r>
    <r>
      <rPr>
        <sz val="11"/>
        <color theme="1"/>
        <rFont val="Calibri"/>
        <family val="2"/>
        <scheme val="minor"/>
      </rPr>
      <t xml:space="preserve"> 1 additional coverage. 
Entity Investigation Cover - </t>
    </r>
    <r>
      <rPr>
        <b/>
        <sz val="11"/>
        <color theme="1"/>
        <rFont val="Calibri"/>
        <family val="2"/>
        <scheme val="minor"/>
      </rPr>
      <t>Applicable to 3 products only (Products 1, 2 and 5)</t>
    </r>
  </si>
  <si>
    <t>Coverages and Additional coverages need to be updated in product rationalization sheet.</t>
  </si>
  <si>
    <t>4. Able to find state</t>
  </si>
  <si>
    <t>Are there any state specific coverages?</t>
  </si>
  <si>
    <t>5. Ability to define coverage terms (limits &amp; deductibles)</t>
  </si>
  <si>
    <t xml:space="preserve"> In which reference document, we can see  limits and deductable classcodes.</t>
  </si>
  <si>
    <t>6. Ability to define exposures (Class codes)</t>
  </si>
  <si>
    <t>7. Ability to define Pre-qualification &amp; Modifiers</t>
  </si>
  <si>
    <t xml:space="preserve">Pre qualification questions &amp; modifier details required </t>
  </si>
  <si>
    <t>8. Validate Conditions</t>
  </si>
  <si>
    <t>Cannot find User story for Conditions in Userstory backlogs</t>
  </si>
  <si>
    <t>9. Validate Exclusions</t>
  </si>
  <si>
    <t>Cannot find User story for Exclusions in Userstory backlogs</t>
  </si>
  <si>
    <t>10. Ability to set one or multiple currency types for a given Product.</t>
  </si>
  <si>
    <t>The ability to create New Account from Account Tab - New Account or from Actions Menu– Create New Account</t>
  </si>
  <si>
    <t>QA needs to know End point url to create account through integration. (Customer API)</t>
  </si>
  <si>
    <t>In the User story, it is mentioned as "Create account from Accounts" Tab in PC. But, per Inception workshop notes, it is mentioned as "Confirmed: we will have systematic creation of Account via Integration only within PC, no creating or editing of  Account in PC". Which one correct?</t>
  </si>
  <si>
    <t>The ability to Search for a name by providing Applicant Information</t>
  </si>
  <si>
    <t>There are 10 User stories in backlog for Create account. All are in scope for Sprint 1?</t>
  </si>
  <si>
    <t>The ability to view and navigate to the Account if search returns results.</t>
  </si>
  <si>
    <t>The ability to do a Name Clearance check to prevent duplication</t>
  </si>
  <si>
    <t>The ability to create an Account by selecting type Person, Company or retrieve from Address Book</t>
  </si>
  <si>
    <t>The ability to capture Account Contact Details</t>
  </si>
  <si>
    <t>The ability to select a Producer  using Organization Search</t>
  </si>
  <si>
    <t>The ability to save the Account information (Update button) and generate an account number</t>
  </si>
  <si>
    <t>Ability to receive and store Underwriter Assignment to a given Account.</t>
  </si>
  <si>
    <t>Ability to ingest and surface details of the Customer Hierarchy against an Account within PolicyCenter.</t>
  </si>
  <si>
    <t>As a user, ability to search the MDM for an existing account prior to creating new account in PC</t>
  </si>
  <si>
    <t>End point uirl of MDM API</t>
  </si>
  <si>
    <t>Ability to ingest notification of Account data update event to trigger the automated update of the Account record in PolicyCenter</t>
  </si>
  <si>
    <t>Ability to ingest notification of Account data update event to trigger an alert that manual intervention is required to update the impacted Policies policy-level data.</t>
  </si>
  <si>
    <t>The ability to view Account File Summary screen</t>
  </si>
  <si>
    <t>The ability to Edit the Account contact details and add addresses.</t>
  </si>
  <si>
    <t>The ability to view the Overview information like Account Premium, Loss &amp; Loss Ratio</t>
  </si>
  <si>
    <t>The ability to recalculate the Overview information</t>
  </si>
  <si>
    <t>The ability to view the current Activities associated with the account</t>
  </si>
  <si>
    <t>The ability to navigate to Activity Details tab for a specific activity</t>
  </si>
  <si>
    <t>The ability to view aggregated Billing information for an account stored in BillingCenter, Next invoice details and last payment details</t>
  </si>
  <si>
    <t>Can we see Next invoice details and last pmt details in Billing center in Sprint 1 ?</t>
  </si>
  <si>
    <t>The ability to navigate to BillingCenter from Account Screen.</t>
  </si>
  <si>
    <t>The ability to navigate &amp; view Account Billing summary information</t>
  </si>
  <si>
    <t>The ability to view all Policy Terms associated with this account and filter by its Status</t>
  </si>
  <si>
    <t>The ability to recalculate the Loss Ratio</t>
  </si>
  <si>
    <t>The ability to view all the Open Policy Transactions</t>
  </si>
  <si>
    <t>The ability to navigate to appropriate screen/transaction when a Transaction # or Policy # is clicked.</t>
  </si>
  <si>
    <t>The ability to navigate to new Policy Submission screen.</t>
  </si>
  <si>
    <t>The ability to view the Account contacts and roles</t>
  </si>
  <si>
    <t>The ability to view the Agency/Broker Organization and Producer Code</t>
  </si>
  <si>
    <t>The ability to view all associated claims to the Account</t>
  </si>
  <si>
    <t>Integration b/w GWPC and Claims system</t>
  </si>
  <si>
    <t>GWPC is on cloud and Claim Center is OnPerm, how this integration happens? Is this part of Sprint 1?</t>
  </si>
  <si>
    <t>The ability to view related accounts to the Account if any.</t>
  </si>
  <si>
    <t>Ability to display an alert to user when a policy associated with a given account  is in delinquency</t>
  </si>
  <si>
    <t>Is Delinquency functionality in Billing center is Sprint 1 scope?</t>
  </si>
  <si>
    <t>Create New Submission – Point of Clearance/Assignment</t>
  </si>
  <si>
    <t xml:space="preserve">Ability to train/inform AI platform (i.e. Cytora) on Master Product Definition within Beazley </t>
  </si>
  <si>
    <t>Need details about AI platform - Cytora</t>
  </si>
  <si>
    <t>Ability to trigger product selection and Product Model version selection based on set criteria during submission clearance.</t>
  </si>
  <si>
    <t>Solution dicussion pending , per backlog sheet</t>
  </si>
  <si>
    <t>This happens in pre UW, UWWB or PC? Need clarity.</t>
  </si>
  <si>
    <t>Ability to trigger Broker Validation logic based on Broker details available.</t>
  </si>
  <si>
    <t xml:space="preserve">Plans - Billing Plan </t>
  </si>
  <si>
    <t xml:space="preserve">As a system admin, </t>
  </si>
  <si>
    <t>All Sprint 1 Billing center stories can be validated in Admin screens</t>
  </si>
  <si>
    <t>Able to create new Billing plan</t>
  </si>
  <si>
    <t xml:space="preserve">Per my understanding, we have only Agency Bill for all the products, there is no direct bill. Please confirm. </t>
  </si>
  <si>
    <t>Able to manage new Billing plan</t>
  </si>
  <si>
    <t>Able to manage Invoice lead time</t>
  </si>
  <si>
    <t>Able to manage Invoice fees</t>
  </si>
  <si>
    <t>Able to manage Disbursements</t>
  </si>
  <si>
    <t>Able to manage recurring payments through Payment requests</t>
  </si>
  <si>
    <t>Validate is payment request can be created 12 days before the due date</t>
  </si>
  <si>
    <t>Is it part of Fundation release? Per Backlog doc, this is TBD</t>
  </si>
  <si>
    <t xml:space="preserve">Payment plan </t>
  </si>
  <si>
    <t>As a system admin, I should be able to create and manage new payment plans</t>
  </si>
  <si>
    <t xml:space="preserve">Ability to collect premium in full  (Annual Payment plan). </t>
  </si>
  <si>
    <t xml:space="preserve">Per backlog sheet, Annual Payment plan is applicable to 3 products only. Need to know what are those 3 products? For other 2 products, it is installments and it is part of Post fundation release. </t>
  </si>
  <si>
    <t>Payment Allocation plan</t>
  </si>
  <si>
    <t>As a system admin</t>
  </si>
  <si>
    <t>Able to create suspense payment automatically when matching policy is not found</t>
  </si>
  <si>
    <t>If extra payment done , then also the exess amout goes to suspense. However, need to confirm if this is also applicable?</t>
  </si>
  <si>
    <t>Manage suspense by linking it to a policy and invoise</t>
  </si>
  <si>
    <t>Charge patterns</t>
  </si>
  <si>
    <t>As s system user,</t>
  </si>
  <si>
    <t>Ability to display Tax amount and Tax percentage by State or region within BillingCenter</t>
  </si>
  <si>
    <t>Need Charge patterns (product and state specific)</t>
  </si>
  <si>
    <t>Ability to Invoice tax as one-time charge</t>
  </si>
  <si>
    <t>Need to check , how can validate this.</t>
  </si>
  <si>
    <t>Commission Plan</t>
  </si>
  <si>
    <t>Should be able to retrieve commission percentages from PC to BC</t>
  </si>
  <si>
    <t>Need Commission percentages</t>
  </si>
  <si>
    <t>Make policy change in PC and retrive commission percenage changes in BC</t>
  </si>
  <si>
    <t>Able to handle 0% commission even policy handles by broker</t>
  </si>
  <si>
    <t>Need Broker organization setup</t>
  </si>
  <si>
    <t>Return Plan</t>
  </si>
  <si>
    <t>Cannot see any user stories for Return plans in User story backlog sheet</t>
  </si>
  <si>
    <t>Agency Bill Plan</t>
  </si>
  <si>
    <t xml:space="preserve">Broker Organization setup </t>
  </si>
  <si>
    <t>MDA Tech Spike – Connect via APIM</t>
  </si>
  <si>
    <t>Need details - To be dicussed with integration team</t>
  </si>
  <si>
    <t xml:space="preserve">MDM Event Configuration from Application (MDA) – Policy </t>
  </si>
  <si>
    <t>PC-BC Integration – Policy (OOTB)</t>
  </si>
  <si>
    <t>Validate the policy data flow from GWPC to BC</t>
  </si>
  <si>
    <t>Validate if payment plan and schedule data flow from GWBC to PC</t>
  </si>
  <si>
    <t>Product Model definition service</t>
  </si>
  <si>
    <t>Locate</t>
  </si>
  <si>
    <t>Validate address standadization service</t>
  </si>
  <si>
    <t>Create/Update Account API updates to new data definition</t>
  </si>
  <si>
    <t xml:space="preserve">Ability to create new account </t>
  </si>
  <si>
    <t>Ability to update an account</t>
  </si>
  <si>
    <t>Policy Center</t>
  </si>
  <si>
    <t>Create New Submission – Point of Quote</t>
  </si>
  <si>
    <t>As a PolicyCenter User, should be able to create a Quick Quote so that I can capture minimum set of data to return a Premium against an Indicative/Non-Binding Quote Version which can later be converted to a bindable Quote Version.</t>
  </si>
  <si>
    <t>As a PolicyCenter User, I should be able to view summary of quote so that I can view Insured Information and Premium Info.</t>
  </si>
  <si>
    <t>The ability to review the Premium by Coverages, Policy Premium, Taxes &amp; Charges</t>
  </si>
  <si>
    <t xml:space="preserve">The ability to view Submission wizard details </t>
  </si>
  <si>
    <t>Update New Submission - Ingest Additional Quote Versions (UWWB)</t>
  </si>
  <si>
    <t>The ability to create Side-by-Side Quote versions</t>
  </si>
  <si>
    <t>he ability to view Premium details on click Quote Button</t>
  </si>
  <si>
    <t xml:space="preserve">The ability to Edit Policy Transaction </t>
  </si>
  <si>
    <t xml:space="preserve">The ability to select Coverages </t>
  </si>
  <si>
    <t xml:space="preserve">The ability to Create multi-version </t>
  </si>
  <si>
    <t>The ability to Close quote with multiple options</t>
  </si>
  <si>
    <t>Ability to generate an Indicative Quote to be shared to Broker.</t>
  </si>
  <si>
    <t>Ability to promote an Indicative Quote version to a full Quote Offer.</t>
  </si>
  <si>
    <t>Ability to produce a new Quote Version while maintaining an auditable record of previous Quote Versions.</t>
  </si>
  <si>
    <t>Ability to recognise and maintain a history of the Broker-accepted Quote Version.</t>
  </si>
  <si>
    <t xml:space="preserve">The ability to create, store and view side-by-side multiple Quote Options against a single Quote Version </t>
  </si>
  <si>
    <t>The ability to modify the underwriting company, coverages and coverages selected at a Quote Option level against a signle Quote Version</t>
  </si>
  <si>
    <t xml:space="preserve">Forms inference / Document triggers </t>
  </si>
  <si>
    <t>As a PolicyCenter User, I should be able to view forms  so that I can view the related forms applicable for the submission.</t>
  </si>
  <si>
    <t xml:space="preserve">Ability to trigger document generation based on set criteria for a given Transaction, Policy and/or Account. </t>
  </si>
  <si>
    <t>List of applicable forms / documents for each transaction and criteria for document trigger are needed.</t>
  </si>
  <si>
    <t xml:space="preserve">Ability to trigger Endorsement documentation generation based on set criteria for a given Transaction. </t>
  </si>
  <si>
    <t>Need criteria for Endorsement document trigger</t>
  </si>
  <si>
    <t xml:space="preserve">Ability to trigger Subjectivity documentation based on set criteria for a given Policy Transaction. </t>
  </si>
  <si>
    <t>Need criteria for subjectevity document trigger</t>
  </si>
  <si>
    <t>Ability to trigger population of Quote documentation template with appropriate values for a given Transaction, Policy and/or Account</t>
  </si>
  <si>
    <t>Ability to generate Invoice at point of Bind</t>
  </si>
  <si>
    <t>Ability to generate an Invoice for Customer, Broker and Coinsurer with any required variations.</t>
  </si>
  <si>
    <t>What are the variations in invoise generation for customer, Broker and Coinsurer? Where can I check the docuementation.</t>
  </si>
  <si>
    <t>Ability to trigger population of  document at point of Bind</t>
  </si>
  <si>
    <t>What are the list of docs when policy is Bind.</t>
  </si>
  <si>
    <t>Ability to trigger population of  document at point of issuance</t>
  </si>
  <si>
    <t>What are the list of docs when policy is issued.</t>
  </si>
  <si>
    <t xml:space="preserve">Ability to trigger workflow to include appropriate document attachments or document links in e-mail communications to Broker. </t>
  </si>
  <si>
    <t>Validate if,
Binder &amp; Invoice should trigger on Bind;
Draft Watermarked Policy Document can be triggered at pre-Issuance (Quote, Bind etc);
Policy Documents should trigger on Issuance</t>
  </si>
  <si>
    <t xml:space="preserve">Ability to trigger generation and distribution of Broker chasers for in progress transaction prior to system logic performing auto NTU and auto lapse </t>
  </si>
  <si>
    <t>when the system logic performs auto NTU and auto lapse.</t>
  </si>
  <si>
    <t>Ability to trigger generation and distribution of marketing communications or Broker chasers for Lapsed transactions based on set criteria (i.e. Number of days since Lapse etc)</t>
  </si>
  <si>
    <t>What is the criteria</t>
  </si>
  <si>
    <t>Ability to trigger &amp; overlay a 'Draft' watermark to any document generated, to be shared internally or externally to Broker.</t>
  </si>
  <si>
    <t>Ability to trigger a cancellation document and earned premium invoice when the cancellation Transaction is scheduled or cancelled.</t>
  </si>
  <si>
    <t>Subjectivities</t>
  </si>
  <si>
    <t>Cannot see any user stories for Subjectivities in User story backlog sheet</t>
  </si>
  <si>
    <t>Close options</t>
  </si>
  <si>
    <t>As a PolicyCenter User, I should be able to close a submission as Withdrawn and capture relevant data for a given Close Option</t>
  </si>
  <si>
    <t>Ability to set Transaction status to Expired based on parameterised conditions (i.e. Product, Number of Days past Effective Date/since Quoted Date, reason, contact permitted)</t>
  </si>
  <si>
    <t xml:space="preserve">Ability to receive and store status and reason (i.e. Decline; Decline Reason) for completed transactions. </t>
  </si>
  <si>
    <t>Ability to set Transaction status to Not-Taken-Up based on parameterised conditions (i.e. Product, Number of Days past Effective Date/since Quoted Date, reason, competitor selected, etc)</t>
  </si>
  <si>
    <t>Validate - Manual NTU and Auto NTU</t>
  </si>
  <si>
    <t xml:space="preserve">Ability to capture Winning Carrier when respective reason for NTU is selected. </t>
  </si>
  <si>
    <t>Auto NTU/Lapse</t>
  </si>
  <si>
    <t>Validate for auto NTU / Lapse by reasons - product, Number of days past effective date, Number of days since Quoted date, other reason, Competitor selected etc.</t>
  </si>
  <si>
    <t>Retrieve Billing Instructions</t>
  </si>
  <si>
    <r>
      <rPr>
        <b/>
        <u/>
        <sz val="11"/>
        <color theme="1"/>
        <rFont val="Calibri"/>
        <family val="2"/>
        <scheme val="minor"/>
      </rPr>
      <t>Retrieve Submission Billing instructions from PC</t>
    </r>
    <r>
      <rPr>
        <sz val="11"/>
        <color theme="1"/>
        <rFont val="Calibri"/>
        <family val="2"/>
        <scheme val="minor"/>
      </rPr>
      <t xml:space="preserve"> :
As a system user, I should be able to retrieve Submission Billing instructions from PolicyCenter so that I can create corresponding  accounts, policies, contacts, charges, Payment plan and commission within BillingCenter to manage the financial life cycle of the policies</t>
    </r>
  </si>
  <si>
    <t>Ability to retrieve and store commission % and/or amount from PolicyCenter to BillingCenter</t>
  </si>
  <si>
    <t>Ability to retrieve different tax types and amounts from PolicyCenter for invoicing</t>
  </si>
  <si>
    <t xml:space="preserve"> Ability to capture Primary Broker and AP contact details  based on Product Lines, Geography etc</t>
  </si>
  <si>
    <t>Ability to identify the contact responsible for Tax administration (Beazley or Insured or Broker)</t>
  </si>
  <si>
    <t>Ability to retrieve, store and display Insured contacts details from PC (including email, phone number &amp; Address details)</t>
  </si>
  <si>
    <t xml:space="preserve">The ability to receive and store within BillingCenter, the details of an ‘Accounts Payable Contact’ for a given Broker.  </t>
  </si>
  <si>
    <t xml:space="preserve"> Ability to Invoice Premium &amp; Tax broken down by State/Country</t>
  </si>
  <si>
    <r>
      <rPr>
        <b/>
        <u/>
        <sz val="11"/>
        <color theme="1"/>
        <rFont val="Calibri"/>
        <family val="2"/>
        <scheme val="minor"/>
      </rPr>
      <t>Create and manage Payment instruments:</t>
    </r>
    <r>
      <rPr>
        <sz val="11"/>
        <color theme="1"/>
        <rFont val="Calibri"/>
        <family val="2"/>
        <scheme val="minor"/>
      </rPr>
      <t xml:space="preserve">
As a system user, I should be able to configure/setup multiple payment methods like EFT/Wire, ACH, and Lockbox in BillingCenter so that I can create and process payments and settlements against the invoices from these payment methods</t>
    </r>
  </si>
  <si>
    <t>Ability to configure following Payment methods within BillingCenter - EFT/Wire, ACH, and Lockbox</t>
  </si>
  <si>
    <r>
      <rPr>
        <b/>
        <u/>
        <sz val="11"/>
        <color theme="1"/>
        <rFont val="Calibri"/>
        <family val="2"/>
        <scheme val="minor"/>
      </rPr>
      <t>Retrieve Cancellation Billing instructions from PC</t>
    </r>
    <r>
      <rPr>
        <sz val="11"/>
        <color theme="1"/>
        <rFont val="Calibri"/>
        <family val="2"/>
        <scheme val="minor"/>
      </rPr>
      <t xml:space="preserve"> :
As a system user, I should be able to retrieve Cancellation  Billing instructions from PolicyCenter and determine the final return premium within BillingCenter so that I can generate a single invoice that includes net-of-commissions 
</t>
    </r>
  </si>
  <si>
    <t>Ability to calculate the Final Return premium within BillingCenter upon Policy cancellation instructions received from PC</t>
  </si>
  <si>
    <r>
      <rPr>
        <b/>
        <u/>
        <sz val="11"/>
        <color theme="1"/>
        <rFont val="Calibri"/>
        <family val="2"/>
        <scheme val="minor"/>
      </rPr>
      <t>Retrieve Policy change Billing instructions from PC</t>
    </r>
    <r>
      <rPr>
        <sz val="11"/>
        <color theme="1"/>
        <rFont val="Calibri"/>
        <family val="2"/>
        <scheme val="minor"/>
      </rPr>
      <t xml:space="preserve"> :
As a system user, I should be able to retrieve Policy change Billing instructions from PolicyCenter so that I can  I can update corresponding  accounts, policies, contacts, create / update charges, invoices, payment instruments, override commissions within BillingCenter to manage the financial life cycle of the policies
</t>
    </r>
  </si>
  <si>
    <t>Ability to manage commission changes as a result of Commission % changes in PolicyCenter during the Policy period</t>
  </si>
  <si>
    <t xml:space="preserve"> Ability to generate Policy change invoices during Blackout-window period within BillingCenter</t>
  </si>
  <si>
    <t xml:space="preserve">Ability to change broker of record from the beginning of policy period and upon midterm adjustment (dependency with PC) </t>
  </si>
  <si>
    <r>
      <rPr>
        <b/>
        <u/>
        <sz val="11"/>
        <color theme="1"/>
        <rFont val="Calibri"/>
        <family val="2"/>
        <scheme val="minor"/>
      </rPr>
      <t>Retrieve Reinstatement Billing instructions from PC</t>
    </r>
    <r>
      <rPr>
        <sz val="11"/>
        <color theme="1"/>
        <rFont val="Calibri"/>
        <family val="2"/>
        <scheme val="minor"/>
      </rPr>
      <t xml:space="preserve"> :
As a system user, I should be able to retrieve Reinstatement Billing instructions from PolicyCenter so that user can view Reinstatement invoices and manage the financial life cycle of the policy
</t>
    </r>
  </si>
  <si>
    <t>Ability to handle invoicing for reinstatement transactions (reinstatement after no payment cancellation and regular cancellation, invoice should include net-of-commission value)</t>
  </si>
  <si>
    <r>
      <rPr>
        <b/>
        <u/>
        <sz val="11"/>
        <color theme="1"/>
        <rFont val="Calibri"/>
        <family val="2"/>
        <scheme val="minor"/>
      </rPr>
      <t>Retrieve Rewrite Billing instructions from PC</t>
    </r>
    <r>
      <rPr>
        <sz val="11"/>
        <color theme="1"/>
        <rFont val="Calibri"/>
        <family val="2"/>
        <scheme val="minor"/>
      </rPr>
      <t xml:space="preserve"> :
As a system user, I should be able to retrieve Rewrite Billing instructions from PolicyCenter so that I can create corresponding  accounts, policies, contacts, charges and other details in BillingCenter to manage the financial life cycle of the policies</t>
    </r>
  </si>
  <si>
    <t xml:space="preserve">Ability to handle invoicing for cancel-rewrite transactions (for the situation where the original invoice was paid or not paid, invoice should include net-of-commission value) </t>
  </si>
  <si>
    <r>
      <rPr>
        <b/>
        <u/>
        <sz val="11"/>
        <color theme="1"/>
        <rFont val="Calibri"/>
        <family val="2"/>
        <scheme val="minor"/>
      </rPr>
      <t>Retrieve Renewal Billing instructions from PC</t>
    </r>
    <r>
      <rPr>
        <sz val="11"/>
        <color theme="1"/>
        <rFont val="Calibri"/>
        <family val="2"/>
        <scheme val="minor"/>
      </rPr>
      <t xml:space="preserve"> :
As a system user, I should be able to retrieve Renewal Billing instructions from PolicyCenter so that I can create accounts, policies, contacts, charges and other details for renewal term within BillingCenter to manage the financial life cycle of the renewed policies</t>
    </r>
  </si>
  <si>
    <t xml:space="preserve">Ability to handle invoicing  for renewal transactions (invoice should include net-of-commission value) </t>
  </si>
  <si>
    <t>Setup  Billing Account</t>
  </si>
  <si>
    <t>Cannot see any user stories for "Setup Billing account" in User story backlog sheet</t>
  </si>
  <si>
    <t xml:space="preserve">Policy and Producers </t>
  </si>
  <si>
    <r>
      <rPr>
        <b/>
        <u/>
        <sz val="11"/>
        <color theme="1"/>
        <rFont val="Calibri"/>
        <family val="2"/>
        <scheme val="minor"/>
      </rPr>
      <t xml:space="preserve">Producer Policies overview </t>
    </r>
    <r>
      <rPr>
        <sz val="11"/>
        <color theme="1"/>
        <rFont val="Calibri"/>
        <family val="2"/>
        <scheme val="minor"/>
      </rPr>
      <t xml:space="preserve">:
As a Billing user, I should be able view the summary of all the policies attached to Producers, so that I can manage their policies
</t>
    </r>
  </si>
  <si>
    <t>The ability to view a list of all Policies associated with a given Broker (Producer)</t>
  </si>
  <si>
    <r>
      <rPr>
        <b/>
        <u/>
        <sz val="11"/>
        <color theme="1"/>
        <rFont val="Calibri"/>
        <family val="2"/>
        <scheme val="minor"/>
      </rPr>
      <t>Create and manage Producer Contacts:</t>
    </r>
    <r>
      <rPr>
        <sz val="11"/>
        <color theme="1"/>
        <rFont val="Calibri"/>
        <family val="2"/>
        <scheme val="minor"/>
      </rPr>
      <t xml:space="preserve">
As a system user, I should be able to retrieve Broker contact details as well as AP contact details from Policycenter so that I view, manage and use the contact details for communication purposes
</t>
    </r>
  </si>
  <si>
    <t>Ability to capture Primary Broker and AP contact details  based on Product Lines, Geography etc.
2 types of contacts -  Primary broker contact  &amp; AP contact attached to that Broker.  Both needs to be retreived into BillingCenter</t>
  </si>
  <si>
    <t>Ability to switch on &amp; off sending automated email to Brokers</t>
  </si>
  <si>
    <t>Ability to select / change the preferred language for documents</t>
  </si>
  <si>
    <r>
      <rPr>
        <b/>
        <u/>
        <sz val="11"/>
        <color theme="1"/>
        <rFont val="Calibri"/>
        <family val="2"/>
        <scheme val="minor"/>
      </rPr>
      <t>Retrieve updated Policy and Producer Contacts</t>
    </r>
    <r>
      <rPr>
        <sz val="11"/>
        <color theme="1"/>
        <rFont val="Calibri"/>
        <family val="2"/>
        <scheme val="minor"/>
      </rPr>
      <t xml:space="preserve">:
As a system user, I should be able to retrieve updated Policy and/or Broker contacts from Policycenter so that existing contact details are updated in sync with PolicyCenter
</t>
    </r>
  </si>
  <si>
    <t>Ability to get updated value of billing-related contacts (for example, change of AP contact/commission bank account)</t>
  </si>
  <si>
    <t>Charges – Premium</t>
  </si>
  <si>
    <t>Cannot see any user stories for "Charges – Premium" in User story backlog sheet</t>
  </si>
  <si>
    <t>Taxes</t>
  </si>
  <si>
    <t>Cannot see any user stories for "Taxes" in User story backlog sheet</t>
  </si>
  <si>
    <t>Submission Invoicing</t>
  </si>
  <si>
    <t>As a system user, I should be able to generate individual invoices per policy based on rules once submission transaction is bound in PC so that user can manage the financial lifecycle of the Policy</t>
  </si>
  <si>
    <t>Ability to populate Beazley Bank details in Invoice documents based on Beazley Entity, Country and Currency</t>
  </si>
  <si>
    <t xml:space="preserve">Ability to generate individual invoices per policy </t>
  </si>
  <si>
    <t>For Policies on Annual Payment plan, ability to generate Invoice on Bind &amp; sent to Broker along with Binder</t>
  </si>
  <si>
    <t>Ability to set Invoice Due date based on the Lead time (30 days) from date of Bind or Policy effective date whichever is later for New Submission</t>
  </si>
  <si>
    <t xml:space="preserve"> Ability to Invoice back-dated Policies within BillingCenter</t>
  </si>
  <si>
    <t>Ability to Invoice Premium &amp; Tax broken down by State/Country</t>
  </si>
  <si>
    <t xml:space="preserve"> Ability to view  amount ‘Written-off' at Invoice item level</t>
  </si>
  <si>
    <t>Ability to generate the Bill Date of the first invoices as the same date as the Transaction Bound Date</t>
  </si>
  <si>
    <t>Ability to add notes per instalment</t>
  </si>
  <si>
    <t>Payment schedule</t>
  </si>
  <si>
    <t xml:space="preserve"> I should be able to send applicable Payment plans and Payment Schedule details to PolicyCenter during Quote so that Underwriters can view Premium schedule based on Payment plan selected</t>
  </si>
  <si>
    <t>Ability to send applicable Payment Plans / Payment schedule to PolicyCenter on Quote</t>
  </si>
  <si>
    <t>Invoicing design</t>
  </si>
  <si>
    <t>Cannot see any user stories for "Invoice design" in User story backlog sheet</t>
  </si>
  <si>
    <t>Point of ingestion – post clearance/ UWWB assignment – MDA</t>
  </si>
  <si>
    <t>MDM Event – Inbound – Policy /</t>
  </si>
  <si>
    <t xml:space="preserve">MDM Inbound feed via MDA – Policy </t>
  </si>
  <si>
    <t>CRM Event – Inbound – Policy  /</t>
  </si>
  <si>
    <t xml:space="preserve">CRM Inbound feed via MDA – Policy </t>
  </si>
  <si>
    <t xml:space="preserve">PC-BC Integration – Billing </t>
  </si>
  <si>
    <t xml:space="preserve">Agresso Event Configuration – Billing </t>
  </si>
  <si>
    <t>Point of ingestion – Post Quote – MDA/UWWB Part 1</t>
  </si>
  <si>
    <t>Sprint#</t>
  </si>
  <si>
    <t>Stream</t>
  </si>
  <si>
    <t>User story name</t>
  </si>
  <si>
    <t># of TCs</t>
  </si>
  <si>
    <t>Totals</t>
  </si>
  <si>
    <t>PC</t>
  </si>
  <si>
    <t>Product model</t>
  </si>
  <si>
    <t>BC</t>
  </si>
  <si>
    <t>Sprint #</t>
  </si>
  <si>
    <t>No. of US</t>
  </si>
  <si>
    <t>Approx. No. Test cases (Design, Date prep, Execute, Defects)</t>
  </si>
  <si>
    <t>Approx. No. Testcases per person</t>
  </si>
  <si>
    <t>Total number people required</t>
  </si>
  <si>
    <t>Skillset</t>
  </si>
  <si>
    <t>PC - Functional</t>
  </si>
  <si>
    <t>BC - Functional</t>
  </si>
  <si>
    <t>Inetgration</t>
  </si>
  <si>
    <t>Integration (GTF &amp; SOAP UI)</t>
  </si>
  <si>
    <t>PC &amp; BC</t>
  </si>
  <si>
    <t>Automation (GTF)</t>
  </si>
  <si>
    <t>Migration</t>
  </si>
  <si>
    <t>ETL</t>
  </si>
  <si>
    <t>S.No.</t>
  </si>
  <si>
    <t>Resource Name</t>
  </si>
  <si>
    <t>Designation</t>
  </si>
  <si>
    <t>Grade</t>
  </si>
  <si>
    <t>Role</t>
  </si>
  <si>
    <t>Date</t>
  </si>
  <si>
    <t>Comments</t>
  </si>
  <si>
    <t>Ninad Durve</t>
  </si>
  <si>
    <t>Portfolio Manager</t>
  </si>
  <si>
    <t>D2</t>
  </si>
  <si>
    <t>Test Manager (onsite)</t>
  </si>
  <si>
    <t>Allocated to BZ</t>
  </si>
  <si>
    <t>Sridhar Illinda</t>
  </si>
  <si>
    <t>Senior Manager</t>
  </si>
  <si>
    <t>D1</t>
  </si>
  <si>
    <t>Test Manager (Offshore) - PC</t>
  </si>
  <si>
    <t>Komala K</t>
  </si>
  <si>
    <t>Consultant</t>
  </si>
  <si>
    <t>B2</t>
  </si>
  <si>
    <t>PC Tester</t>
  </si>
  <si>
    <t>Available for BZ</t>
  </si>
  <si>
    <t>Trilochanadevi chodabattula</t>
  </si>
  <si>
    <t>Associate Consultant</t>
  </si>
  <si>
    <t>B1</t>
  </si>
  <si>
    <t>Anil Kristipati</t>
  </si>
  <si>
    <t>Kavyasree Kalagara</t>
  </si>
  <si>
    <t>She will join GPAS on 16th Sep</t>
  </si>
  <si>
    <t>FLP</t>
  </si>
  <si>
    <t xml:space="preserve">Software Engg. </t>
  </si>
  <si>
    <t>A4</t>
  </si>
  <si>
    <t>Check if we can oboard 8 weeks early as we get shadow period</t>
  </si>
  <si>
    <t>Anchal Bohidar</t>
  </si>
  <si>
    <t>Senior Consultant</t>
  </si>
  <si>
    <t>C1</t>
  </si>
  <si>
    <t>BC Tester</t>
  </si>
  <si>
    <t>Navya Kengam</t>
  </si>
  <si>
    <t>Sandeep Gaikwad</t>
  </si>
  <si>
    <t>Sai Keerthi Sheryala</t>
  </si>
  <si>
    <t>Vijaya Pulidindi</t>
  </si>
  <si>
    <t>Lead - Onsite</t>
  </si>
  <si>
    <t>A Pirithive Raj</t>
  </si>
  <si>
    <t>Integration</t>
  </si>
  <si>
    <t>Ramesh Babu Boopathy</t>
  </si>
  <si>
    <t>Software Engineer</t>
  </si>
  <si>
    <t>Available for BZ. Check for backfill</t>
  </si>
  <si>
    <t>Manoj Ramisetty</t>
  </si>
  <si>
    <t>Divya S</t>
  </si>
  <si>
    <t>Till end of Sep, he is in RSA</t>
  </si>
  <si>
    <t>Rahul Kumar Boddu</t>
  </si>
  <si>
    <t xml:space="preserve">Abhiram, J </t>
  </si>
  <si>
    <t>Till end of Sep, he is in UWWB</t>
  </si>
  <si>
    <t xml:space="preserve">Sigilambatla, Manoj Kumar </t>
  </si>
  <si>
    <t>Automation</t>
  </si>
  <si>
    <t xml:space="preserve">Rajendran, Saravanan </t>
  </si>
  <si>
    <t xml:space="preserve">Sr. Software Engg. </t>
  </si>
  <si>
    <t>A5</t>
  </si>
  <si>
    <t>Sai Satya Narayana Reddy Kovvuri</t>
  </si>
  <si>
    <t>TBD</t>
  </si>
  <si>
    <t>Migration Tester</t>
  </si>
  <si>
    <t>Additional role looking for:</t>
  </si>
  <si>
    <t>1 auto tester </t>
  </si>
  <si>
    <t>1 sen tester in PC </t>
  </si>
  <si>
    <t>1 Integ lead in Onshore</t>
  </si>
  <si>
    <t>Kiran Akula</t>
  </si>
  <si>
    <t>Test Manager (Offshore) - BC</t>
  </si>
  <si>
    <t>Allocated to RSA till 31st Aug. Beazley allocation pending</t>
  </si>
  <si>
    <t>Narayanan S</t>
  </si>
  <si>
    <t>Associate Name</t>
  </si>
  <si>
    <t>Q1</t>
  </si>
  <si>
    <t>Q2</t>
  </si>
  <si>
    <t>Q3</t>
  </si>
  <si>
    <t>Q4</t>
  </si>
  <si>
    <t>Q5</t>
  </si>
  <si>
    <t>Score (out of 10)</t>
  </si>
  <si>
    <t>% of score</t>
  </si>
  <si>
    <t>Rajendran, Saravanan</t>
  </si>
  <si>
    <t>Manoj Kumar Sigalambatla</t>
  </si>
  <si>
    <t>Abhiram J</t>
  </si>
  <si>
    <t>S. No</t>
  </si>
  <si>
    <t>Action items</t>
  </si>
  <si>
    <t>Status</t>
  </si>
  <si>
    <t xml:space="preserve"> Check the APD - talk to Ramesh</t>
  </si>
  <si>
    <t>Closed</t>
  </si>
  <si>
    <t xml:space="preserve"> Request for SOAP UI / Swagger / Postman tools to get in BZ</t>
  </si>
  <si>
    <t xml:space="preserve"> Get ready with all the tools required</t>
  </si>
  <si>
    <t>Discuss with Dev team (Murali) and plan to test Inbound and Outbound integrations .
Need to validate schema and payloads</t>
  </si>
  <si>
    <t xml:space="preserve"> Check for stubs availability, If stubs are not given, plan how to do integration testing</t>
  </si>
  <si>
    <t xml:space="preserve"> Resources - Need the names , availability dates etc</t>
  </si>
  <si>
    <t xml:space="preserve"> To know the BZ Billing center, contact Rupesh (do not disturb Sriram)</t>
  </si>
  <si>
    <t xml:space="preserve"> To know about integrations, ask for HLD</t>
  </si>
  <si>
    <t xml:space="preserve"> Prepare well and schedule follow up call after a week</t>
  </si>
  <si>
    <t>Create Test scripts for OOTB functionality (as asked by Natraj)</t>
  </si>
  <si>
    <t>In Progress</t>
  </si>
  <si>
    <t>Topic</t>
  </si>
  <si>
    <t>Planned Start Date</t>
  </si>
  <si>
    <t>Planned End Date</t>
  </si>
  <si>
    <t>Mentor</t>
  </si>
  <si>
    <t>Participants</t>
  </si>
  <si>
    <t>Playwright Training videos to be shared by Harsha</t>
  </si>
  <si>
    <t>NA</t>
  </si>
  <si>
    <t>Team to go through the videos 
(This needs to be completed in 3 working days)</t>
  </si>
  <si>
    <t>BZ Team
Bench Team</t>
  </si>
  <si>
    <t>Session by Harsha - Typescript VS Javascript</t>
  </si>
  <si>
    <t>21-August 2024; 
12 to 1 pm</t>
  </si>
  <si>
    <t>21 August 2024; 
12 to 1 pm</t>
  </si>
  <si>
    <t>Harsha</t>
  </si>
  <si>
    <t>GWPOC frame work overview</t>
  </si>
  <si>
    <t>21 August 2024; 
4 to 5 pm</t>
  </si>
  <si>
    <t>Keerthi</t>
  </si>
  <si>
    <t>Identify OOTB use cases &amp; Sprint plan cases</t>
  </si>
  <si>
    <t>Sridhar / Kiran/ Harsha / Riya Agarwal</t>
  </si>
  <si>
    <t>Planning meeting and allocation</t>
  </si>
  <si>
    <t>GW PC OOTB cases - Scripting
(In allignment to Beazley Sprint plan)</t>
  </si>
  <si>
    <t>Based on detailed analysis , planned dates might change, resource allocation to be done</t>
  </si>
  <si>
    <t>GW BC OOTB cases - Scripting
(In allignment to Beazley Sprint plan)</t>
  </si>
  <si>
    <t>Open</t>
  </si>
  <si>
    <t>Beazley specific items scripting
(In allignment to Beazley Sprint plan)</t>
  </si>
  <si>
    <t>Handover the OOTB scripts to Practice</t>
  </si>
  <si>
    <t>Daily stand up call will be conducted for 30 mins to check the status (morning)</t>
  </si>
  <si>
    <t>Daily code review call will be set up (evenining)</t>
  </si>
  <si>
    <r>
      <rPr>
        <b/>
        <u/>
        <sz val="11"/>
        <color theme="1"/>
        <rFont val="Calibri"/>
        <family val="2"/>
        <scheme val="minor"/>
      </rPr>
      <t>Beazley associates :</t>
    </r>
    <r>
      <rPr>
        <sz val="11"/>
        <color theme="1"/>
        <rFont val="Calibri"/>
        <family val="2"/>
        <scheme val="minor"/>
      </rPr>
      <t xml:space="preserve">
Abhiram, J j.abhiram@capgemini.com; 
Rajendran, Saravanan saravanan.saravanan@capgemini.com; 
Sigilambatla, Manoj Kumar manoj-kumar.sigilambatla@capgemini.com; 
Sai Keerthi, Sheryala sheryala.sai-keerthi@capgemini.com; 
A, Pirithive Raj pirithive-raj.a@capgemini.com
Ramesh Boopathy Ramesh.Boopathy@beazley.com</t>
    </r>
  </si>
  <si>
    <r>
      <rPr>
        <b/>
        <u/>
        <sz val="11"/>
        <color theme="1"/>
        <rFont val="Calibri"/>
        <family val="2"/>
        <scheme val="minor"/>
      </rPr>
      <t>Bench associates:</t>
    </r>
    <r>
      <rPr>
        <sz val="11"/>
        <color theme="1"/>
        <rFont val="Calibri"/>
        <family val="2"/>
        <scheme val="minor"/>
      </rPr>
      <t xml:space="preserve">
M, Sivanpandi sivanpandi.m@capgemini.com; 
D, Nivetha nivetha.a.d@capgemini.com; 
Himabindhu, Sayle sayle.himabindhu@capgemini.com; 
Sri Latha, Sura sura.sri-latha@capgemini.com</t>
    </r>
  </si>
  <si>
    <r>
      <rPr>
        <b/>
        <sz val="11"/>
        <color theme="1"/>
        <rFont val="Calibri"/>
        <family val="2"/>
        <scheme val="minor"/>
      </rPr>
      <t xml:space="preserve">Additional associate: </t>
    </r>
    <r>
      <rPr>
        <sz val="11"/>
        <color theme="1"/>
        <rFont val="Calibri"/>
        <family val="2"/>
        <scheme val="minor"/>
      </rPr>
      <t xml:space="preserve">
riya.b.agrawal@capgemini.com</t>
    </r>
  </si>
  <si>
    <t>Product model validation for all elements
(Products, Coverages, State specific, Conditions, Exclusions etc)</t>
  </si>
  <si>
    <t>Total US</t>
  </si>
  <si>
    <t>Testing Completed</t>
  </si>
  <si>
    <t>In progress Test</t>
  </si>
  <si>
    <t>Blocked</t>
  </si>
  <si>
    <t>In Dev</t>
  </si>
  <si>
    <t>Remarks</t>
  </si>
  <si>
    <t>Total</t>
  </si>
  <si>
    <t>Demo Completed</t>
  </si>
  <si>
    <t>Blocked story is with open defect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</si>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</sst>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5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/>
    <xf numFmtId="0" fontId="3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7" fillId="2" borderId="3" xfId="0" applyFont="1" applyFill="1" applyBorder="1"/>
    <xf numFmtId="0" fontId="7" fillId="2" borderId="3" xfId="0" applyFont="1" applyFill="1" applyBorder="1" applyAlignment="1">
      <alignment wrapText="1"/>
    </xf>
    <xf numFmtId="0" fontId="7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/>
    </xf>
    <xf numFmtId="0" fontId="7" fillId="2" borderId="2" xfId="0" applyFont="1" applyFill="1" applyBorder="1" applyAlignment="1">
      <alignment vertical="top" wrapText="1"/>
    </xf>
    <xf numFmtId="0" fontId="8" fillId="0" borderId="0" xfId="0" applyFont="1"/>
    <xf numFmtId="0" fontId="0" fillId="3" borderId="1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3" xfId="0" applyFont="1" applyFill="1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0" fillId="0" borderId="2" xfId="0" applyBorder="1"/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21" xfId="0" applyFont="1" applyFill="1" applyBorder="1" applyAlignment="1">
      <alignment horizontal="left" vertical="center" wrapText="1"/>
    </xf>
    <xf numFmtId="0" fontId="1" fillId="4" borderId="22" xfId="0" applyFont="1" applyFill="1" applyBorder="1" applyAlignment="1">
      <alignment horizontal="left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3" borderId="3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2" borderId="21" xfId="0" applyFill="1" applyBorder="1"/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/>
    <xf numFmtId="0" fontId="1" fillId="4" borderId="23" xfId="0" applyFont="1" applyFill="1" applyBorder="1"/>
    <xf numFmtId="0" fontId="0" fillId="0" borderId="11" xfId="0" applyBorder="1" applyAlignment="1">
      <alignment vertical="center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" fillId="4" borderId="22" xfId="0" applyFont="1" applyFill="1" applyBorder="1" applyAlignment="1">
      <alignment horizontal="center" vertical="center"/>
    </xf>
    <xf numFmtId="0" fontId="1" fillId="4" borderId="32" xfId="0" applyFont="1" applyFill="1" applyBorder="1"/>
    <xf numFmtId="164" fontId="0" fillId="7" borderId="6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4" fontId="0" fillId="7" borderId="1" xfId="0" quotePrefix="1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6" xfId="0" applyFill="1" applyBorder="1"/>
    <xf numFmtId="0" fontId="0" fillId="5" borderId="1" xfId="0" applyFill="1" applyBorder="1" applyAlignment="1">
      <alignment wrapText="1"/>
    </xf>
    <xf numFmtId="0" fontId="0" fillId="7" borderId="1" xfId="0" applyFill="1" applyBorder="1" applyAlignment="1">
      <alignment vertical="center" wrapText="1"/>
    </xf>
    <xf numFmtId="16" fontId="0" fillId="7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7" borderId="1" xfId="0" applyFill="1" applyBorder="1"/>
    <xf numFmtId="0" fontId="1" fillId="0" borderId="1" xfId="0" applyFont="1" applyBorder="1"/>
    <xf numFmtId="0" fontId="1" fillId="10" borderId="0" xfId="0" applyFont="1" applyFill="1"/>
    <xf numFmtId="0" fontId="0" fillId="11" borderId="1" xfId="0" applyFill="1" applyBorder="1" applyAlignment="1">
      <alignment horizontal="center" vertical="center"/>
    </xf>
    <xf numFmtId="0" fontId="0" fillId="8" borderId="0" xfId="0" applyFill="1"/>
    <xf numFmtId="0" fontId="1" fillId="10" borderId="3" xfId="0" applyFont="1" applyFill="1" applyBorder="1"/>
    <xf numFmtId="0" fontId="0" fillId="11" borderId="6" xfId="0" applyFill="1" applyBorder="1" applyAlignment="1">
      <alignment horizontal="center" vertical="center"/>
    </xf>
    <xf numFmtId="9" fontId="0" fillId="0" borderId="7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1" fillId="0" borderId="5" xfId="0" applyFont="1" applyBorder="1"/>
    <xf numFmtId="0" fontId="1" fillId="0" borderId="8" xfId="0" applyFont="1" applyBorder="1"/>
    <xf numFmtId="0" fontId="1" fillId="0" borderId="10" xfId="0" applyFont="1" applyBorder="1"/>
    <xf numFmtId="9" fontId="1" fillId="0" borderId="23" xfId="1" applyFont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9" fontId="0" fillId="0" borderId="12" xfId="1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/>
    <xf numFmtId="9" fontId="1" fillId="0" borderId="23" xfId="1" applyFont="1" applyFill="1" applyBorder="1" applyAlignment="1">
      <alignment horizontal="center" vertical="center"/>
    </xf>
    <xf numFmtId="9" fontId="0" fillId="0" borderId="23" xfId="1" applyFont="1" applyBorder="1" applyAlignment="1">
      <alignment horizontal="center"/>
    </xf>
    <xf numFmtId="0" fontId="0" fillId="0" borderId="22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5883-5735-4860-A9CA-61315F3577FA}">
  <dimension ref="A1:I20"/>
  <sheetViews>
    <sheetView workbookViewId="0">
      <selection activeCell="K4" sqref="K4"/>
    </sheetView>
  </sheetViews>
  <sheetFormatPr defaultRowHeight="14.5" x14ac:dyDescent="0.35"/>
  <cols>
    <col min="2" max="2" width="13.54296875" bestFit="1" customWidth="1"/>
    <col min="3" max="3" width="13.54296875" customWidth="1"/>
    <col min="4" max="4" width="38.81640625" bestFit="1" customWidth="1"/>
    <col min="6" max="6" width="14.81640625" customWidth="1"/>
    <col min="7" max="7" width="19.453125" customWidth="1"/>
    <col min="8" max="8" width="16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0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2" t="s">
        <v>17</v>
      </c>
    </row>
    <row r="3" spans="1:9" x14ac:dyDescent="0.35">
      <c r="A3" s="2"/>
      <c r="B3" s="2"/>
      <c r="C3" s="2"/>
      <c r="D3" s="2" t="s">
        <v>18</v>
      </c>
      <c r="E3" s="2"/>
      <c r="F3" s="2" t="s">
        <v>19</v>
      </c>
      <c r="G3" s="2" t="s">
        <v>20</v>
      </c>
      <c r="H3" s="2" t="s">
        <v>21</v>
      </c>
      <c r="I3" s="2" t="s">
        <v>22</v>
      </c>
    </row>
    <row r="4" spans="1:9" x14ac:dyDescent="0.35">
      <c r="A4" s="2"/>
      <c r="B4" s="2"/>
      <c r="C4" s="2"/>
      <c r="D4" s="2" t="s">
        <v>23</v>
      </c>
      <c r="E4" s="2"/>
      <c r="F4" s="2" t="s">
        <v>24</v>
      </c>
      <c r="G4" s="2" t="s">
        <v>25</v>
      </c>
      <c r="H4" s="2" t="s">
        <v>26</v>
      </c>
      <c r="I4" s="2" t="s">
        <v>27</v>
      </c>
    </row>
    <row r="5" spans="1:9" x14ac:dyDescent="0.35">
      <c r="A5" s="2"/>
      <c r="B5" s="2"/>
      <c r="C5" s="2"/>
      <c r="D5" s="2" t="s">
        <v>28</v>
      </c>
      <c r="E5" s="2"/>
      <c r="F5" s="2" t="s">
        <v>29</v>
      </c>
      <c r="G5" s="2" t="s">
        <v>30</v>
      </c>
      <c r="H5" s="2" t="s">
        <v>31</v>
      </c>
      <c r="I5" s="2" t="s">
        <v>32</v>
      </c>
    </row>
    <row r="6" spans="1:9" x14ac:dyDescent="0.35">
      <c r="A6" s="2"/>
      <c r="B6" s="2"/>
      <c r="C6" s="2"/>
      <c r="D6" s="2" t="s">
        <v>33</v>
      </c>
      <c r="E6" s="2"/>
      <c r="F6" s="2" t="s">
        <v>34</v>
      </c>
      <c r="G6" s="2" t="s">
        <v>35</v>
      </c>
      <c r="H6" s="2" t="s">
        <v>36</v>
      </c>
      <c r="I6" s="2" t="s">
        <v>37</v>
      </c>
    </row>
    <row r="7" spans="1:9" ht="58" x14ac:dyDescent="0.35">
      <c r="A7" s="2"/>
      <c r="B7" s="2"/>
      <c r="C7" s="2"/>
      <c r="D7" s="2" t="s">
        <v>38</v>
      </c>
      <c r="E7" s="2"/>
      <c r="F7" s="2"/>
      <c r="G7" s="3" t="s">
        <v>39</v>
      </c>
      <c r="H7" s="3" t="s">
        <v>40</v>
      </c>
      <c r="I7" s="2"/>
    </row>
    <row r="8" spans="1:9" x14ac:dyDescent="0.35">
      <c r="A8" s="2"/>
      <c r="B8" s="2"/>
      <c r="C8" s="2" t="s">
        <v>41</v>
      </c>
      <c r="D8" s="2"/>
      <c r="E8" s="2" t="s">
        <v>13</v>
      </c>
      <c r="F8" s="2" t="s">
        <v>14</v>
      </c>
      <c r="G8" s="2"/>
      <c r="H8" s="2" t="s">
        <v>42</v>
      </c>
      <c r="I8" s="2" t="s">
        <v>17</v>
      </c>
    </row>
    <row r="9" spans="1:9" x14ac:dyDescent="0.35">
      <c r="A9" s="2"/>
      <c r="B9" s="2"/>
      <c r="C9" s="2"/>
      <c r="D9" s="2"/>
      <c r="E9" s="2"/>
      <c r="F9" s="2" t="s">
        <v>19</v>
      </c>
      <c r="G9" s="2"/>
      <c r="H9" s="2" t="s">
        <v>43</v>
      </c>
      <c r="I9" s="2" t="s">
        <v>22</v>
      </c>
    </row>
    <row r="10" spans="1:9" x14ac:dyDescent="0.35">
      <c r="A10" s="2"/>
      <c r="B10" s="2"/>
      <c r="C10" s="2"/>
      <c r="D10" s="2"/>
      <c r="E10" s="2"/>
      <c r="F10" s="2" t="s">
        <v>24</v>
      </c>
      <c r="G10" s="2"/>
      <c r="H10" s="2" t="s">
        <v>26</v>
      </c>
      <c r="I10" s="2" t="s">
        <v>27</v>
      </c>
    </row>
    <row r="11" spans="1:9" x14ac:dyDescent="0.35">
      <c r="A11" s="2"/>
      <c r="B11" s="2"/>
      <c r="C11" s="2"/>
      <c r="D11" s="2"/>
      <c r="E11" s="2"/>
      <c r="F11" s="2" t="s">
        <v>29</v>
      </c>
      <c r="G11" s="2"/>
      <c r="H11" s="2" t="s">
        <v>31</v>
      </c>
      <c r="I11" s="2" t="s">
        <v>32</v>
      </c>
    </row>
    <row r="12" spans="1:9" x14ac:dyDescent="0.35">
      <c r="A12" s="2"/>
      <c r="B12" s="2"/>
      <c r="C12" s="2"/>
      <c r="D12" s="2"/>
      <c r="E12" s="2"/>
      <c r="F12" s="2" t="s">
        <v>34</v>
      </c>
      <c r="G12" s="2"/>
      <c r="H12" s="2" t="s">
        <v>36</v>
      </c>
      <c r="I12" s="2" t="s">
        <v>37</v>
      </c>
    </row>
    <row r="13" spans="1:9" x14ac:dyDescent="0.35">
      <c r="A13" s="2"/>
      <c r="B13" s="2"/>
      <c r="C13" s="2" t="s">
        <v>44</v>
      </c>
      <c r="D13" s="2"/>
      <c r="E13" s="2" t="s">
        <v>13</v>
      </c>
      <c r="F13" s="2" t="s">
        <v>14</v>
      </c>
      <c r="G13" s="2"/>
      <c r="H13" s="2" t="s">
        <v>42</v>
      </c>
      <c r="I13" s="2" t="s">
        <v>17</v>
      </c>
    </row>
    <row r="14" spans="1:9" x14ac:dyDescent="0.35">
      <c r="A14" s="2"/>
      <c r="B14" s="2"/>
      <c r="C14" s="2"/>
      <c r="D14" s="2"/>
      <c r="E14" s="2"/>
      <c r="F14" s="2" t="s">
        <v>19</v>
      </c>
      <c r="G14" s="2"/>
      <c r="H14" s="2" t="s">
        <v>43</v>
      </c>
      <c r="I14" s="2" t="s">
        <v>22</v>
      </c>
    </row>
    <row r="15" spans="1:9" x14ac:dyDescent="0.35">
      <c r="A15" s="2"/>
      <c r="B15" s="2"/>
      <c r="C15" s="2"/>
      <c r="D15" s="2"/>
      <c r="E15" s="2"/>
      <c r="F15" s="2" t="s">
        <v>24</v>
      </c>
      <c r="G15" s="2"/>
      <c r="H15" s="2" t="s">
        <v>26</v>
      </c>
      <c r="I15" s="2" t="s">
        <v>27</v>
      </c>
    </row>
    <row r="16" spans="1:9" x14ac:dyDescent="0.35">
      <c r="A16" s="2"/>
      <c r="B16" s="2"/>
      <c r="C16" s="2"/>
      <c r="D16" s="2"/>
      <c r="E16" s="2"/>
      <c r="F16" s="2" t="s">
        <v>29</v>
      </c>
      <c r="G16" s="2"/>
      <c r="H16" s="2" t="s">
        <v>31</v>
      </c>
      <c r="I16" s="2" t="s">
        <v>32</v>
      </c>
    </row>
    <row r="17" spans="1:9" x14ac:dyDescent="0.35">
      <c r="A17" s="2"/>
      <c r="B17" s="2"/>
      <c r="C17" s="2"/>
      <c r="D17" s="2"/>
      <c r="E17" s="2"/>
      <c r="F17" s="2" t="s">
        <v>34</v>
      </c>
      <c r="G17" s="2"/>
      <c r="H17" s="2" t="s">
        <v>36</v>
      </c>
      <c r="I17" s="2" t="s">
        <v>37</v>
      </c>
    </row>
    <row r="18" spans="1:9" x14ac:dyDescent="0.35">
      <c r="A18" s="2" t="s">
        <v>45</v>
      </c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D9F3-AA9D-4FD9-81A9-9AEEDA53726D}">
  <dimension ref="A1:G20"/>
  <sheetViews>
    <sheetView workbookViewId="0">
      <selection activeCell="I4" sqref="I4"/>
    </sheetView>
  </sheetViews>
  <sheetFormatPr defaultRowHeight="14.5" x14ac:dyDescent="0.35"/>
  <cols>
    <col min="2" max="2" width="13.54296875" bestFit="1" customWidth="1"/>
    <col min="3" max="3" width="11.1796875" customWidth="1"/>
    <col min="4" max="4" width="20.1796875" customWidth="1"/>
    <col min="5" max="6" width="14.81640625" customWidth="1"/>
    <col min="7" max="7" width="49.1796875" customWidth="1"/>
  </cols>
  <sheetData>
    <row r="1" spans="1:7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  <c r="F1" s="1" t="s">
        <v>46</v>
      </c>
      <c r="G1" s="1" t="s">
        <v>7</v>
      </c>
    </row>
    <row r="2" spans="1:7" ht="130.5" x14ac:dyDescent="0.35">
      <c r="A2" s="2" t="s">
        <v>9</v>
      </c>
      <c r="B2" s="2" t="s">
        <v>47</v>
      </c>
      <c r="C2" s="2" t="s">
        <v>13</v>
      </c>
      <c r="D2" s="2" t="s">
        <v>14</v>
      </c>
      <c r="E2" s="2" t="s">
        <v>48</v>
      </c>
      <c r="F2" s="3" t="s">
        <v>49</v>
      </c>
      <c r="G2" s="3" t="s">
        <v>50</v>
      </c>
    </row>
    <row r="3" spans="1:7" x14ac:dyDescent="0.35">
      <c r="A3" s="2"/>
      <c r="B3" s="2"/>
      <c r="C3" s="2" t="s">
        <v>51</v>
      </c>
      <c r="D3" s="2" t="s">
        <v>19</v>
      </c>
      <c r="E3" s="2"/>
      <c r="F3" s="2"/>
      <c r="G3" s="2"/>
    </row>
    <row r="4" spans="1:7" x14ac:dyDescent="0.35">
      <c r="A4" s="2"/>
      <c r="B4" s="2"/>
      <c r="C4" s="2" t="s">
        <v>52</v>
      </c>
      <c r="D4" s="2" t="s">
        <v>24</v>
      </c>
      <c r="E4" s="2"/>
      <c r="F4" s="2"/>
      <c r="G4" s="2"/>
    </row>
    <row r="5" spans="1:7" x14ac:dyDescent="0.35">
      <c r="A5" s="2"/>
      <c r="B5" s="2"/>
      <c r="C5" s="2" t="s">
        <v>52</v>
      </c>
      <c r="D5" s="2" t="s">
        <v>34</v>
      </c>
      <c r="E5" s="2"/>
      <c r="F5" s="2"/>
      <c r="G5" s="2"/>
    </row>
    <row r="6" spans="1:7" x14ac:dyDescent="0.35">
      <c r="A6" s="2"/>
      <c r="B6" s="2"/>
      <c r="C6" s="2" t="s">
        <v>52</v>
      </c>
      <c r="D6" s="2" t="s">
        <v>29</v>
      </c>
      <c r="E6" s="2"/>
      <c r="F6" s="2"/>
      <c r="G6" s="2"/>
    </row>
    <row r="7" spans="1:7" x14ac:dyDescent="0.35">
      <c r="A7" s="2"/>
      <c r="B7" s="2"/>
      <c r="C7" s="2"/>
      <c r="D7" s="2"/>
      <c r="E7" s="2"/>
      <c r="F7" s="2"/>
      <c r="G7" s="3"/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2" t="s">
        <v>45</v>
      </c>
      <c r="B9" s="2" t="s">
        <v>53</v>
      </c>
      <c r="C9" s="2" t="s">
        <v>13</v>
      </c>
      <c r="D9" s="2" t="s">
        <v>14</v>
      </c>
      <c r="E9" s="2"/>
      <c r="F9" s="2"/>
      <c r="G9" s="2"/>
    </row>
    <row r="10" spans="1:7" x14ac:dyDescent="0.35">
      <c r="A10" s="2"/>
      <c r="B10" s="2"/>
      <c r="C10" s="2" t="s">
        <v>51</v>
      </c>
      <c r="D10" s="2" t="s">
        <v>19</v>
      </c>
      <c r="E10" s="2"/>
      <c r="F10" s="2"/>
      <c r="G10" s="2"/>
    </row>
    <row r="11" spans="1:7" x14ac:dyDescent="0.35">
      <c r="A11" s="2"/>
      <c r="B11" s="2"/>
      <c r="C11" s="2" t="s">
        <v>52</v>
      </c>
      <c r="D11" s="2" t="s">
        <v>24</v>
      </c>
      <c r="E11" s="2"/>
      <c r="F11" s="2"/>
      <c r="G11" s="2"/>
    </row>
    <row r="12" spans="1:7" x14ac:dyDescent="0.35">
      <c r="A12" s="2"/>
      <c r="B12" s="2"/>
      <c r="C12" s="2" t="s">
        <v>52</v>
      </c>
      <c r="D12" s="2" t="s">
        <v>34</v>
      </c>
      <c r="E12" s="2"/>
      <c r="F12" s="2"/>
      <c r="G12" s="2"/>
    </row>
    <row r="13" spans="1:7" x14ac:dyDescent="0.35">
      <c r="A13" s="2"/>
      <c r="B13" s="2"/>
      <c r="C13" s="2" t="s">
        <v>52</v>
      </c>
      <c r="D13" s="2" t="s">
        <v>29</v>
      </c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B18" s="2"/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8B6C-ABEE-4940-ADB4-5A61795DD72D}">
  <dimension ref="A1:F77"/>
  <sheetViews>
    <sheetView zoomScale="80" zoomScaleNormal="80" workbookViewId="0">
      <pane ySplit="1" topLeftCell="A2" activePane="bottomLeft" state="frozen"/>
      <selection pane="bottomLeft" activeCell="C45" sqref="C45:C47"/>
    </sheetView>
  </sheetViews>
  <sheetFormatPr defaultRowHeight="14.5" x14ac:dyDescent="0.35"/>
  <cols>
    <col min="1" max="1" width="13.54296875" customWidth="1"/>
    <col min="2" max="2" width="21.453125" style="4" customWidth="1"/>
    <col min="3" max="3" width="38.1796875" style="5" customWidth="1"/>
    <col min="4" max="4" width="56.453125" style="8" bestFit="1" customWidth="1"/>
    <col min="5" max="5" width="35.453125" style="8" bestFit="1" customWidth="1"/>
    <col min="6" max="6" width="41.1796875" style="5" bestFit="1" customWidth="1"/>
  </cols>
  <sheetData>
    <row r="1" spans="1:6" s="19" customFormat="1" ht="18.5" x14ac:dyDescent="0.45">
      <c r="A1" s="14" t="s">
        <v>2</v>
      </c>
      <c r="B1" s="15" t="s">
        <v>3</v>
      </c>
      <c r="C1" s="16" t="s">
        <v>54</v>
      </c>
      <c r="D1" s="17" t="s">
        <v>55</v>
      </c>
      <c r="E1" s="17" t="s">
        <v>7</v>
      </c>
      <c r="F1" s="18" t="s">
        <v>56</v>
      </c>
    </row>
    <row r="2" spans="1:6" ht="217.5" x14ac:dyDescent="0.35">
      <c r="A2" s="118" t="s">
        <v>11</v>
      </c>
      <c r="B2" s="118" t="s">
        <v>12</v>
      </c>
      <c r="C2" s="6" t="s">
        <v>57</v>
      </c>
      <c r="D2" s="6" t="s">
        <v>58</v>
      </c>
      <c r="E2" s="6" t="s">
        <v>59</v>
      </c>
      <c r="F2" s="6" t="s">
        <v>60</v>
      </c>
    </row>
    <row r="3" spans="1:6" ht="116" x14ac:dyDescent="0.35">
      <c r="A3" s="118"/>
      <c r="B3" s="118"/>
      <c r="C3" s="6" t="s">
        <v>61</v>
      </c>
      <c r="D3" s="6" t="s">
        <v>62</v>
      </c>
      <c r="E3" s="6" t="s">
        <v>63</v>
      </c>
      <c r="F3" s="6"/>
    </row>
    <row r="4" spans="1:6" x14ac:dyDescent="0.35">
      <c r="A4" s="118"/>
      <c r="B4" s="118"/>
      <c r="C4" s="6" t="s">
        <v>64</v>
      </c>
      <c r="D4" s="7"/>
      <c r="E4" s="7"/>
      <c r="F4" s="6" t="s">
        <v>65</v>
      </c>
    </row>
    <row r="5" spans="1:6" ht="304.5" x14ac:dyDescent="0.35">
      <c r="A5" s="118"/>
      <c r="B5" s="118"/>
      <c r="C5" s="6" t="s">
        <v>66</v>
      </c>
      <c r="D5" s="6" t="s">
        <v>67</v>
      </c>
      <c r="E5" s="6" t="s">
        <v>68</v>
      </c>
      <c r="F5" s="6"/>
    </row>
    <row r="6" spans="1:6" x14ac:dyDescent="0.35">
      <c r="A6" s="118"/>
      <c r="B6" s="118"/>
      <c r="C6" s="6" t="s">
        <v>69</v>
      </c>
      <c r="D6" s="7"/>
      <c r="E6" s="7"/>
      <c r="F6" s="6" t="s">
        <v>70</v>
      </c>
    </row>
    <row r="7" spans="1:6" ht="29" x14ac:dyDescent="0.35">
      <c r="A7" s="118"/>
      <c r="B7" s="118"/>
      <c r="C7" s="6" t="s">
        <v>71</v>
      </c>
      <c r="D7" s="7"/>
      <c r="E7" s="7"/>
      <c r="F7" s="6" t="s">
        <v>72</v>
      </c>
    </row>
    <row r="8" spans="1:6" x14ac:dyDescent="0.35">
      <c r="A8" s="118"/>
      <c r="B8" s="118"/>
      <c r="C8" s="6" t="s">
        <v>73</v>
      </c>
      <c r="D8" s="7"/>
      <c r="E8" s="7"/>
      <c r="F8" s="6"/>
    </row>
    <row r="9" spans="1:6" ht="29" x14ac:dyDescent="0.35">
      <c r="A9" s="118"/>
      <c r="B9" s="118"/>
      <c r="C9" s="6" t="s">
        <v>74</v>
      </c>
      <c r="D9" s="7"/>
      <c r="E9" s="6" t="s">
        <v>75</v>
      </c>
      <c r="F9" s="6"/>
    </row>
    <row r="10" spans="1:6" ht="29" x14ac:dyDescent="0.35">
      <c r="A10" s="118"/>
      <c r="B10" s="118"/>
      <c r="C10" s="6" t="s">
        <v>76</v>
      </c>
      <c r="D10" s="7"/>
      <c r="E10" s="7"/>
      <c r="F10" s="6" t="s">
        <v>77</v>
      </c>
    </row>
    <row r="11" spans="1:6" ht="29" x14ac:dyDescent="0.35">
      <c r="A11" s="118"/>
      <c r="B11" s="118"/>
      <c r="C11" s="6" t="s">
        <v>78</v>
      </c>
      <c r="D11" s="7"/>
      <c r="E11" s="7"/>
      <c r="F11" s="6" t="s">
        <v>79</v>
      </c>
    </row>
    <row r="12" spans="1:6" ht="29" x14ac:dyDescent="0.35">
      <c r="A12" s="118"/>
      <c r="B12" s="118"/>
      <c r="C12" s="6" t="s">
        <v>80</v>
      </c>
      <c r="D12" s="7"/>
      <c r="E12" s="7"/>
      <c r="F12" s="6"/>
    </row>
    <row r="13" spans="1:6" ht="101.5" x14ac:dyDescent="0.35">
      <c r="A13" s="119" t="s">
        <v>11</v>
      </c>
      <c r="B13" s="118" t="s">
        <v>23</v>
      </c>
      <c r="C13" s="10" t="s">
        <v>81</v>
      </c>
      <c r="D13" s="7"/>
      <c r="E13" s="6" t="s">
        <v>82</v>
      </c>
      <c r="F13" s="6" t="s">
        <v>83</v>
      </c>
    </row>
    <row r="14" spans="1:6" ht="29" x14ac:dyDescent="0.35">
      <c r="A14" s="119"/>
      <c r="B14" s="118"/>
      <c r="C14" s="10" t="s">
        <v>84</v>
      </c>
      <c r="D14" s="7"/>
      <c r="E14" s="7"/>
      <c r="F14" s="6" t="s">
        <v>85</v>
      </c>
    </row>
    <row r="15" spans="1:6" ht="29" x14ac:dyDescent="0.35">
      <c r="A15" s="119"/>
      <c r="B15" s="118"/>
      <c r="C15" s="10" t="s">
        <v>86</v>
      </c>
      <c r="D15" s="7"/>
      <c r="E15" s="7"/>
      <c r="F15" s="6"/>
    </row>
    <row r="16" spans="1:6" ht="29" x14ac:dyDescent="0.35">
      <c r="A16" s="119"/>
      <c r="B16" s="118"/>
      <c r="C16" s="10" t="s">
        <v>87</v>
      </c>
      <c r="D16" s="7"/>
      <c r="E16" s="7"/>
      <c r="F16" s="6"/>
    </row>
    <row r="17" spans="1:6" ht="43.5" x14ac:dyDescent="0.35">
      <c r="A17" s="119"/>
      <c r="B17" s="118"/>
      <c r="C17" s="10" t="s">
        <v>88</v>
      </c>
      <c r="D17" s="7"/>
      <c r="E17" s="7"/>
      <c r="F17" s="6"/>
    </row>
    <row r="18" spans="1:6" ht="29" x14ac:dyDescent="0.35">
      <c r="A18" s="119"/>
      <c r="B18" s="118"/>
      <c r="C18" s="10" t="s">
        <v>89</v>
      </c>
      <c r="D18" s="7"/>
      <c r="E18" s="7"/>
      <c r="F18" s="6"/>
    </row>
    <row r="19" spans="1:6" ht="29" x14ac:dyDescent="0.35">
      <c r="A19" s="119"/>
      <c r="B19" s="118"/>
      <c r="C19" s="10" t="s">
        <v>90</v>
      </c>
      <c r="D19" s="7"/>
      <c r="E19" s="7"/>
      <c r="F19" s="6"/>
    </row>
    <row r="20" spans="1:6" ht="43.5" x14ac:dyDescent="0.35">
      <c r="A20" s="119"/>
      <c r="B20" s="118"/>
      <c r="C20" s="10" t="s">
        <v>91</v>
      </c>
      <c r="D20" s="7"/>
      <c r="E20" s="7"/>
      <c r="F20" s="6"/>
    </row>
    <row r="21" spans="1:6" ht="29" x14ac:dyDescent="0.35">
      <c r="A21" s="119"/>
      <c r="B21" s="118"/>
      <c r="C21" s="10" t="s">
        <v>92</v>
      </c>
      <c r="D21" s="7"/>
      <c r="E21" s="7"/>
      <c r="F21" s="6"/>
    </row>
    <row r="22" spans="1:6" ht="43.5" x14ac:dyDescent="0.35">
      <c r="A22" s="119"/>
      <c r="B22" s="118"/>
      <c r="C22" s="10" t="s">
        <v>93</v>
      </c>
      <c r="D22" s="7"/>
      <c r="E22" s="7"/>
      <c r="F22" s="6"/>
    </row>
    <row r="23" spans="1:6" ht="43.5" x14ac:dyDescent="0.35">
      <c r="A23" s="120" t="s">
        <v>11</v>
      </c>
      <c r="B23" s="123" t="s">
        <v>28</v>
      </c>
      <c r="C23" s="6" t="s">
        <v>94</v>
      </c>
      <c r="D23" s="7"/>
      <c r="E23" s="7" t="s">
        <v>95</v>
      </c>
      <c r="F23" s="6"/>
    </row>
    <row r="24" spans="1:6" ht="58" x14ac:dyDescent="0.35">
      <c r="A24" s="121"/>
      <c r="B24" s="124"/>
      <c r="C24" s="6" t="s">
        <v>96</v>
      </c>
      <c r="D24" s="7"/>
      <c r="E24" s="7"/>
      <c r="F24" s="6"/>
    </row>
    <row r="25" spans="1:6" ht="58" x14ac:dyDescent="0.35">
      <c r="A25" s="122"/>
      <c r="B25" s="125"/>
      <c r="C25" s="6" t="s">
        <v>97</v>
      </c>
      <c r="D25" s="7"/>
      <c r="E25" s="7"/>
      <c r="F25" s="6"/>
    </row>
    <row r="26" spans="1:6" ht="29" x14ac:dyDescent="0.35">
      <c r="A26" s="126" t="s">
        <v>11</v>
      </c>
      <c r="B26" s="126" t="s">
        <v>33</v>
      </c>
      <c r="C26" s="3" t="s">
        <v>98</v>
      </c>
      <c r="D26" s="7"/>
      <c r="E26" s="7"/>
      <c r="F26" s="6"/>
    </row>
    <row r="27" spans="1:6" ht="29" x14ac:dyDescent="0.35">
      <c r="A27" s="126"/>
      <c r="B27" s="126"/>
      <c r="C27" s="3" t="s">
        <v>99</v>
      </c>
      <c r="D27" s="7"/>
      <c r="E27" s="7"/>
      <c r="F27" s="6"/>
    </row>
    <row r="28" spans="1:6" ht="43.5" x14ac:dyDescent="0.35">
      <c r="A28" s="126"/>
      <c r="B28" s="126"/>
      <c r="C28" s="3" t="s">
        <v>100</v>
      </c>
      <c r="D28" s="7"/>
      <c r="E28" s="7"/>
      <c r="F28" s="6"/>
    </row>
    <row r="29" spans="1:6" ht="29" x14ac:dyDescent="0.35">
      <c r="A29" s="126"/>
      <c r="B29" s="126"/>
      <c r="C29" s="3" t="s">
        <v>101</v>
      </c>
      <c r="D29" s="7"/>
      <c r="E29" s="7"/>
      <c r="F29" s="6"/>
    </row>
    <row r="30" spans="1:6" ht="29" x14ac:dyDescent="0.35">
      <c r="A30" s="126"/>
      <c r="B30" s="126"/>
      <c r="C30" s="3" t="s">
        <v>102</v>
      </c>
      <c r="D30" s="7"/>
      <c r="E30" s="7"/>
      <c r="F30" s="6"/>
    </row>
    <row r="31" spans="1:6" ht="29" x14ac:dyDescent="0.35">
      <c r="A31" s="126"/>
      <c r="B31" s="126"/>
      <c r="C31" s="3" t="s">
        <v>103</v>
      </c>
      <c r="D31" s="7"/>
      <c r="E31" s="7"/>
      <c r="F31" s="6"/>
    </row>
    <row r="32" spans="1:6" ht="58" x14ac:dyDescent="0.35">
      <c r="A32" s="126"/>
      <c r="B32" s="126"/>
      <c r="C32" s="3" t="s">
        <v>104</v>
      </c>
      <c r="D32" s="7"/>
      <c r="E32" s="7"/>
      <c r="F32" s="6" t="s">
        <v>105</v>
      </c>
    </row>
    <row r="33" spans="1:6" ht="29" x14ac:dyDescent="0.35">
      <c r="A33" s="126"/>
      <c r="B33" s="126"/>
      <c r="C33" s="3" t="s">
        <v>106</v>
      </c>
      <c r="D33" s="7"/>
      <c r="E33" s="7"/>
      <c r="F33" s="6"/>
    </row>
    <row r="34" spans="1:6" ht="29" x14ac:dyDescent="0.35">
      <c r="A34" s="126"/>
      <c r="B34" s="126"/>
      <c r="C34" s="3" t="s">
        <v>107</v>
      </c>
      <c r="D34" s="7"/>
      <c r="E34" s="7"/>
      <c r="F34" s="6"/>
    </row>
    <row r="35" spans="1:6" ht="43.5" x14ac:dyDescent="0.35">
      <c r="A35" s="126"/>
      <c r="B35" s="126"/>
      <c r="C35" s="3" t="s">
        <v>108</v>
      </c>
      <c r="D35" s="7"/>
      <c r="E35" s="7"/>
      <c r="F35" s="6"/>
    </row>
    <row r="36" spans="1:6" x14ac:dyDescent="0.35">
      <c r="A36" s="126"/>
      <c r="B36" s="126"/>
      <c r="C36" s="3" t="s">
        <v>109</v>
      </c>
      <c r="D36" s="7"/>
      <c r="E36" s="7"/>
      <c r="F36" s="6"/>
    </row>
    <row r="37" spans="1:6" ht="29" x14ac:dyDescent="0.35">
      <c r="A37" s="126"/>
      <c r="B37" s="126"/>
      <c r="C37" s="3" t="s">
        <v>110</v>
      </c>
      <c r="D37" s="7"/>
      <c r="E37" s="7"/>
      <c r="F37" s="6"/>
    </row>
    <row r="38" spans="1:6" ht="43.5" x14ac:dyDescent="0.35">
      <c r="A38" s="126"/>
      <c r="B38" s="126"/>
      <c r="C38" s="3" t="s">
        <v>111</v>
      </c>
      <c r="D38" s="7"/>
      <c r="E38" s="7"/>
      <c r="F38" s="6"/>
    </row>
    <row r="39" spans="1:6" ht="29" x14ac:dyDescent="0.35">
      <c r="A39" s="126"/>
      <c r="B39" s="126"/>
      <c r="C39" s="3" t="s">
        <v>112</v>
      </c>
      <c r="D39" s="7"/>
      <c r="E39" s="7"/>
      <c r="F39" s="6"/>
    </row>
    <row r="40" spans="1:6" ht="29" x14ac:dyDescent="0.35">
      <c r="A40" s="126"/>
      <c r="B40" s="126"/>
      <c r="C40" s="3" t="s">
        <v>113</v>
      </c>
      <c r="D40" s="7"/>
      <c r="E40" s="7"/>
      <c r="F40" s="6"/>
    </row>
    <row r="41" spans="1:6" ht="29" x14ac:dyDescent="0.35">
      <c r="A41" s="126"/>
      <c r="B41" s="126"/>
      <c r="C41" s="3" t="s">
        <v>114</v>
      </c>
      <c r="D41" s="7"/>
      <c r="E41" s="7"/>
      <c r="F41" s="6"/>
    </row>
    <row r="42" spans="1:6" ht="43.5" x14ac:dyDescent="0.35">
      <c r="A42" s="126"/>
      <c r="B42" s="126"/>
      <c r="C42" s="3" t="s">
        <v>115</v>
      </c>
      <c r="D42" s="7"/>
      <c r="E42" s="7" t="s">
        <v>116</v>
      </c>
      <c r="F42" s="6" t="s">
        <v>117</v>
      </c>
    </row>
    <row r="43" spans="1:6" ht="29" x14ac:dyDescent="0.35">
      <c r="A43" s="126"/>
      <c r="B43" s="126"/>
      <c r="C43" s="6" t="s">
        <v>118</v>
      </c>
      <c r="D43" s="7"/>
      <c r="E43" s="7"/>
      <c r="F43" s="6"/>
    </row>
    <row r="44" spans="1:6" ht="43.5" x14ac:dyDescent="0.35">
      <c r="A44" s="126"/>
      <c r="B44" s="126"/>
      <c r="C44" s="6" t="s">
        <v>119</v>
      </c>
      <c r="D44" s="7"/>
      <c r="E44" s="7"/>
      <c r="F44" s="6" t="s">
        <v>120</v>
      </c>
    </row>
    <row r="45" spans="1:6" ht="43.5" x14ac:dyDescent="0.35">
      <c r="A45" s="120" t="s">
        <v>11</v>
      </c>
      <c r="B45" s="123" t="s">
        <v>121</v>
      </c>
      <c r="C45" s="6" t="s">
        <v>122</v>
      </c>
      <c r="D45" s="7"/>
      <c r="E45" s="7" t="s">
        <v>123</v>
      </c>
      <c r="F45" s="6"/>
    </row>
    <row r="46" spans="1:6" ht="43.5" x14ac:dyDescent="0.35">
      <c r="A46" s="121"/>
      <c r="B46" s="124"/>
      <c r="C46" s="6" t="s">
        <v>124</v>
      </c>
      <c r="D46" s="7"/>
      <c r="E46" s="6" t="s">
        <v>125</v>
      </c>
      <c r="F46" s="6" t="s">
        <v>126</v>
      </c>
    </row>
    <row r="47" spans="1:6" ht="29" x14ac:dyDescent="0.35">
      <c r="A47" s="122"/>
      <c r="B47" s="125"/>
      <c r="C47" s="6" t="s">
        <v>127</v>
      </c>
      <c r="D47" s="7"/>
      <c r="E47" s="6" t="s">
        <v>125</v>
      </c>
      <c r="F47" s="6" t="s">
        <v>126</v>
      </c>
    </row>
    <row r="48" spans="1:6" x14ac:dyDescent="0.35">
      <c r="A48" s="11"/>
      <c r="B48" s="11"/>
      <c r="C48" s="11"/>
      <c r="D48" s="11"/>
      <c r="E48" s="11"/>
      <c r="F48" s="11"/>
    </row>
    <row r="49" spans="1:6" x14ac:dyDescent="0.35">
      <c r="A49" s="119" t="s">
        <v>41</v>
      </c>
      <c r="B49" s="118" t="s">
        <v>128</v>
      </c>
      <c r="C49" s="6" t="s">
        <v>129</v>
      </c>
      <c r="D49" s="7" t="s">
        <v>130</v>
      </c>
      <c r="E49" s="7"/>
      <c r="F49" s="6"/>
    </row>
    <row r="50" spans="1:6" ht="43.5" x14ac:dyDescent="0.35">
      <c r="A50" s="119"/>
      <c r="B50" s="118"/>
      <c r="C50" s="6" t="s">
        <v>131</v>
      </c>
      <c r="D50" s="7"/>
      <c r="E50" s="7"/>
      <c r="F50" s="6" t="s">
        <v>132</v>
      </c>
    </row>
    <row r="51" spans="1:6" x14ac:dyDescent="0.35">
      <c r="A51" s="119"/>
      <c r="B51" s="118"/>
      <c r="C51" s="6" t="s">
        <v>133</v>
      </c>
      <c r="D51" s="7"/>
      <c r="E51" s="7"/>
      <c r="F51" s="6"/>
    </row>
    <row r="52" spans="1:6" x14ac:dyDescent="0.35">
      <c r="A52" s="119"/>
      <c r="B52" s="118"/>
      <c r="C52" s="6" t="s">
        <v>134</v>
      </c>
      <c r="D52" s="7"/>
      <c r="E52" s="7"/>
      <c r="F52" s="6"/>
    </row>
    <row r="53" spans="1:6" x14ac:dyDescent="0.35">
      <c r="A53" s="119"/>
      <c r="B53" s="118"/>
      <c r="C53" s="6" t="s">
        <v>135</v>
      </c>
      <c r="D53" s="7"/>
      <c r="E53" s="7"/>
      <c r="F53" s="6"/>
    </row>
    <row r="54" spans="1:6" x14ac:dyDescent="0.35">
      <c r="A54" s="119"/>
      <c r="B54" s="118"/>
      <c r="C54" s="6" t="s">
        <v>136</v>
      </c>
      <c r="D54" s="7"/>
      <c r="E54" s="7"/>
      <c r="F54" s="6"/>
    </row>
    <row r="55" spans="1:6" ht="29" x14ac:dyDescent="0.35">
      <c r="A55" s="119"/>
      <c r="B55" s="118"/>
      <c r="C55" s="6" t="s">
        <v>137</v>
      </c>
      <c r="D55" s="6" t="s">
        <v>138</v>
      </c>
      <c r="E55" s="7"/>
      <c r="F55" s="6" t="s">
        <v>139</v>
      </c>
    </row>
    <row r="56" spans="1:6" ht="72.5" x14ac:dyDescent="0.35">
      <c r="A56" s="9" t="s">
        <v>41</v>
      </c>
      <c r="B56" s="9" t="s">
        <v>140</v>
      </c>
      <c r="C56" s="6" t="s">
        <v>141</v>
      </c>
      <c r="D56" s="7" t="s">
        <v>142</v>
      </c>
      <c r="E56" s="7"/>
      <c r="F56" s="6" t="s">
        <v>143</v>
      </c>
    </row>
    <row r="57" spans="1:6" x14ac:dyDescent="0.35">
      <c r="A57" s="118" t="s">
        <v>41</v>
      </c>
      <c r="B57" s="118" t="s">
        <v>144</v>
      </c>
      <c r="C57" s="6" t="s">
        <v>145</v>
      </c>
      <c r="D57" s="7"/>
      <c r="E57" s="7"/>
      <c r="F57" s="6"/>
    </row>
    <row r="58" spans="1:6" ht="43.5" x14ac:dyDescent="0.35">
      <c r="A58" s="118"/>
      <c r="B58" s="118"/>
      <c r="C58" s="6" t="s">
        <v>146</v>
      </c>
      <c r="D58" s="7"/>
      <c r="E58" s="7"/>
      <c r="F58" s="6" t="s">
        <v>147</v>
      </c>
    </row>
    <row r="59" spans="1:6" ht="29" x14ac:dyDescent="0.35">
      <c r="A59" s="118"/>
      <c r="B59" s="118"/>
      <c r="C59" s="6" t="s">
        <v>148</v>
      </c>
      <c r="D59" s="7"/>
      <c r="E59" s="7"/>
      <c r="F59" s="6"/>
    </row>
    <row r="60" spans="1:6" x14ac:dyDescent="0.35">
      <c r="A60" s="118" t="s">
        <v>41</v>
      </c>
      <c r="B60" s="118" t="s">
        <v>149</v>
      </c>
      <c r="C60" s="6" t="s">
        <v>150</v>
      </c>
      <c r="D60" s="7"/>
      <c r="E60" s="7"/>
      <c r="F60" s="6"/>
    </row>
    <row r="61" spans="1:6" ht="43.5" x14ac:dyDescent="0.35">
      <c r="A61" s="118"/>
      <c r="B61" s="118"/>
      <c r="C61" s="6" t="s">
        <v>151</v>
      </c>
      <c r="D61" s="7"/>
      <c r="E61" s="6" t="s">
        <v>152</v>
      </c>
      <c r="F61" s="6"/>
    </row>
    <row r="62" spans="1:6" x14ac:dyDescent="0.35">
      <c r="A62" s="118"/>
      <c r="B62" s="118"/>
      <c r="C62" s="6" t="s">
        <v>153</v>
      </c>
      <c r="D62" s="7"/>
      <c r="E62" s="7"/>
      <c r="F62" s="6" t="s">
        <v>154</v>
      </c>
    </row>
    <row r="63" spans="1:6" ht="29" x14ac:dyDescent="0.35">
      <c r="A63" s="118" t="s">
        <v>41</v>
      </c>
      <c r="B63" s="118" t="s">
        <v>155</v>
      </c>
      <c r="C63" s="6" t="s">
        <v>156</v>
      </c>
      <c r="D63" s="7"/>
      <c r="E63" s="7" t="s">
        <v>157</v>
      </c>
      <c r="F63" s="6"/>
    </row>
    <row r="64" spans="1:6" ht="29" x14ac:dyDescent="0.35">
      <c r="A64" s="118"/>
      <c r="B64" s="118"/>
      <c r="C64" s="6" t="s">
        <v>158</v>
      </c>
      <c r="D64" s="7"/>
      <c r="E64" s="7"/>
      <c r="F64" s="6"/>
    </row>
    <row r="65" spans="1:6" ht="29" x14ac:dyDescent="0.35">
      <c r="A65" s="118"/>
      <c r="B65" s="118"/>
      <c r="C65" s="6" t="s">
        <v>159</v>
      </c>
      <c r="D65" s="7"/>
      <c r="E65" s="7" t="s">
        <v>160</v>
      </c>
      <c r="F65" s="6"/>
    </row>
    <row r="66" spans="1:6" ht="29" x14ac:dyDescent="0.35">
      <c r="A66" s="2" t="s">
        <v>41</v>
      </c>
      <c r="B66" s="3" t="s">
        <v>161</v>
      </c>
      <c r="C66" s="6"/>
      <c r="D66" s="7"/>
      <c r="E66" s="7"/>
      <c r="F66" s="12" t="s">
        <v>162</v>
      </c>
    </row>
    <row r="67" spans="1:6" ht="29" x14ac:dyDescent="0.35">
      <c r="A67" s="2" t="s">
        <v>41</v>
      </c>
      <c r="B67" s="3" t="s">
        <v>163</v>
      </c>
      <c r="C67" s="6"/>
      <c r="D67" s="7"/>
      <c r="E67" s="7"/>
      <c r="F67" s="12" t="s">
        <v>162</v>
      </c>
    </row>
    <row r="68" spans="1:6" ht="29" x14ac:dyDescent="0.35">
      <c r="A68" s="2" t="s">
        <v>41</v>
      </c>
      <c r="B68" s="3" t="s">
        <v>164</v>
      </c>
      <c r="C68" s="6"/>
      <c r="D68" s="7"/>
      <c r="E68" s="7"/>
      <c r="F68" s="12" t="s">
        <v>162</v>
      </c>
    </row>
    <row r="69" spans="1:6" x14ac:dyDescent="0.35">
      <c r="A69" s="11"/>
      <c r="B69" s="11"/>
      <c r="C69" s="11"/>
      <c r="D69" s="11"/>
      <c r="E69" s="11"/>
      <c r="F69" s="11"/>
    </row>
    <row r="70" spans="1:6" ht="29" x14ac:dyDescent="0.35">
      <c r="A70" s="2" t="s">
        <v>44</v>
      </c>
      <c r="B70" s="70" t="s">
        <v>165</v>
      </c>
      <c r="C70" s="6"/>
      <c r="D70" s="7"/>
      <c r="E70" s="7"/>
      <c r="F70" s="6" t="s">
        <v>166</v>
      </c>
    </row>
    <row r="71" spans="1:6" ht="58" x14ac:dyDescent="0.35">
      <c r="A71" s="2" t="s">
        <v>44</v>
      </c>
      <c r="B71" s="70" t="s">
        <v>167</v>
      </c>
      <c r="C71" s="6"/>
      <c r="D71" s="7"/>
      <c r="E71" s="7"/>
      <c r="F71" s="6" t="s">
        <v>166</v>
      </c>
    </row>
    <row r="72" spans="1:6" ht="29" x14ac:dyDescent="0.35">
      <c r="A72" s="118" t="s">
        <v>44</v>
      </c>
      <c r="B72" s="127" t="s">
        <v>168</v>
      </c>
      <c r="C72" s="6" t="s">
        <v>169</v>
      </c>
      <c r="D72" s="7"/>
      <c r="E72" s="7"/>
      <c r="F72" s="6"/>
    </row>
    <row r="73" spans="1:6" ht="29" x14ac:dyDescent="0.35">
      <c r="A73" s="118"/>
      <c r="B73" s="127"/>
      <c r="C73" s="6" t="s">
        <v>170</v>
      </c>
      <c r="D73" s="7"/>
      <c r="E73" s="7"/>
      <c r="F73" s="6"/>
    </row>
    <row r="74" spans="1:6" ht="29" x14ac:dyDescent="0.35">
      <c r="A74" s="2" t="s">
        <v>44</v>
      </c>
      <c r="B74" s="70" t="s">
        <v>171</v>
      </c>
      <c r="C74" s="6"/>
      <c r="D74" s="7"/>
      <c r="E74" s="7"/>
      <c r="F74" s="6" t="s">
        <v>166</v>
      </c>
    </row>
    <row r="75" spans="1:6" x14ac:dyDescent="0.35">
      <c r="A75" s="2" t="s">
        <v>44</v>
      </c>
      <c r="B75" s="70" t="s">
        <v>172</v>
      </c>
      <c r="C75" s="6" t="s">
        <v>173</v>
      </c>
      <c r="D75" s="7"/>
      <c r="E75" s="7"/>
      <c r="F75" s="6"/>
    </row>
    <row r="76" spans="1:6" ht="43.5" x14ac:dyDescent="0.35">
      <c r="A76" s="118" t="s">
        <v>44</v>
      </c>
      <c r="B76" s="127" t="s">
        <v>174</v>
      </c>
      <c r="C76" s="6" t="s">
        <v>175</v>
      </c>
      <c r="D76" s="7"/>
      <c r="E76" s="6" t="s">
        <v>82</v>
      </c>
      <c r="F76" s="6"/>
    </row>
    <row r="77" spans="1:6" x14ac:dyDescent="0.35">
      <c r="A77" s="118"/>
      <c r="B77" s="127"/>
      <c r="C77" s="6" t="s">
        <v>176</v>
      </c>
      <c r="D77" s="7"/>
      <c r="E77" s="7" t="s">
        <v>95</v>
      </c>
      <c r="F77" s="6"/>
    </row>
  </sheetData>
  <mergeCells count="22">
    <mergeCell ref="B72:B73"/>
    <mergeCell ref="A72:A73"/>
    <mergeCell ref="B76:B77"/>
    <mergeCell ref="A76:A77"/>
    <mergeCell ref="B57:B59"/>
    <mergeCell ref="A57:A59"/>
    <mergeCell ref="B60:B62"/>
    <mergeCell ref="A60:A62"/>
    <mergeCell ref="B63:B65"/>
    <mergeCell ref="A63:A65"/>
    <mergeCell ref="B49:B55"/>
    <mergeCell ref="A49:A55"/>
    <mergeCell ref="A23:A25"/>
    <mergeCell ref="B23:B25"/>
    <mergeCell ref="A26:A44"/>
    <mergeCell ref="B26:B44"/>
    <mergeCell ref="A2:A12"/>
    <mergeCell ref="B2:B12"/>
    <mergeCell ref="B13:B22"/>
    <mergeCell ref="A13:A22"/>
    <mergeCell ref="A45:A47"/>
    <mergeCell ref="B45:B4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1DD5-7277-43B5-9648-EF0748CD225E}">
  <dimension ref="A1:F81"/>
  <sheetViews>
    <sheetView zoomScale="80" zoomScaleNormal="80" workbookViewId="0">
      <selection activeCell="E5" sqref="E5"/>
    </sheetView>
  </sheetViews>
  <sheetFormatPr defaultRowHeight="14.5" x14ac:dyDescent="0.35"/>
  <cols>
    <col min="1" max="1" width="13.54296875" customWidth="1"/>
    <col min="2" max="2" width="21.453125" style="4" customWidth="1"/>
    <col min="3" max="3" width="38.1796875" style="5" customWidth="1"/>
    <col min="4" max="4" width="56.453125" style="5" bestFit="1" customWidth="1"/>
    <col min="5" max="5" width="34.54296875" style="5" customWidth="1"/>
    <col min="6" max="6" width="41.1796875" style="5" bestFit="1" customWidth="1"/>
  </cols>
  <sheetData>
    <row r="1" spans="1:6" s="19" customFormat="1" ht="18.5" x14ac:dyDescent="0.45">
      <c r="A1" s="14" t="s">
        <v>2</v>
      </c>
      <c r="B1" s="15" t="s">
        <v>3</v>
      </c>
      <c r="C1" s="16" t="s">
        <v>54</v>
      </c>
      <c r="D1" s="18" t="s">
        <v>55</v>
      </c>
      <c r="E1" s="18" t="s">
        <v>7</v>
      </c>
      <c r="F1" s="18" t="s">
        <v>56</v>
      </c>
    </row>
    <row r="2" spans="1:6" ht="87" x14ac:dyDescent="0.35">
      <c r="A2" s="119" t="s">
        <v>177</v>
      </c>
      <c r="B2" s="118" t="s">
        <v>178</v>
      </c>
      <c r="C2" s="6" t="s">
        <v>179</v>
      </c>
      <c r="D2" s="6"/>
      <c r="E2" s="6"/>
      <c r="F2" s="6"/>
    </row>
    <row r="3" spans="1:6" ht="43.5" x14ac:dyDescent="0.35">
      <c r="A3" s="119"/>
      <c r="B3" s="118"/>
      <c r="C3" s="6" t="s">
        <v>180</v>
      </c>
      <c r="D3" s="6" t="s">
        <v>181</v>
      </c>
      <c r="E3" s="6"/>
      <c r="F3" s="6"/>
    </row>
    <row r="4" spans="1:6" ht="29" x14ac:dyDescent="0.35">
      <c r="A4" s="119"/>
      <c r="B4" s="118"/>
      <c r="C4" s="6" t="s">
        <v>182</v>
      </c>
      <c r="D4" s="6"/>
      <c r="E4" s="6"/>
      <c r="F4" s="6"/>
    </row>
    <row r="5" spans="1:6" ht="29" x14ac:dyDescent="0.35">
      <c r="A5" s="119" t="s">
        <v>177</v>
      </c>
      <c r="B5" s="118" t="s">
        <v>183</v>
      </c>
      <c r="C5" s="6" t="s">
        <v>184</v>
      </c>
      <c r="D5" s="6"/>
      <c r="E5" s="6"/>
      <c r="F5" s="6"/>
    </row>
    <row r="6" spans="1:6" ht="29" x14ac:dyDescent="0.35">
      <c r="A6" s="119"/>
      <c r="B6" s="118"/>
      <c r="C6" s="6" t="s">
        <v>185</v>
      </c>
      <c r="D6" s="6"/>
      <c r="E6" s="6"/>
      <c r="F6" s="6"/>
    </row>
    <row r="7" spans="1:6" x14ac:dyDescent="0.35">
      <c r="A7" s="119"/>
      <c r="B7" s="118"/>
      <c r="C7" s="6" t="s">
        <v>186</v>
      </c>
      <c r="D7" s="6"/>
      <c r="E7" s="6"/>
      <c r="F7" s="6"/>
    </row>
    <row r="8" spans="1:6" x14ac:dyDescent="0.35">
      <c r="A8" s="119"/>
      <c r="B8" s="118"/>
      <c r="C8" s="6" t="s">
        <v>187</v>
      </c>
      <c r="D8" s="6"/>
      <c r="E8" s="6"/>
      <c r="F8" s="6"/>
    </row>
    <row r="9" spans="1:6" x14ac:dyDescent="0.35">
      <c r="A9" s="119"/>
      <c r="B9" s="118"/>
      <c r="C9" s="6" t="s">
        <v>188</v>
      </c>
      <c r="D9" s="6"/>
      <c r="E9" s="6"/>
      <c r="F9" s="6"/>
    </row>
    <row r="10" spans="1:6" ht="29" x14ac:dyDescent="0.35">
      <c r="A10" s="119"/>
      <c r="B10" s="118"/>
      <c r="C10" s="6" t="s">
        <v>189</v>
      </c>
      <c r="D10" s="6"/>
      <c r="E10" s="6"/>
      <c r="F10" s="6"/>
    </row>
    <row r="11" spans="1:6" ht="29" x14ac:dyDescent="0.35">
      <c r="A11" s="119"/>
      <c r="B11" s="118"/>
      <c r="C11" s="6" t="s">
        <v>190</v>
      </c>
      <c r="D11" s="6"/>
      <c r="E11" s="6"/>
      <c r="F11" s="6"/>
    </row>
    <row r="12" spans="1:6" ht="29" x14ac:dyDescent="0.35">
      <c r="A12" s="119"/>
      <c r="B12" s="118"/>
      <c r="C12" s="6" t="s">
        <v>191</v>
      </c>
      <c r="D12" s="6"/>
      <c r="E12" s="6"/>
      <c r="F12" s="6"/>
    </row>
    <row r="13" spans="1:6" ht="43.5" x14ac:dyDescent="0.35">
      <c r="A13" s="119"/>
      <c r="B13" s="118"/>
      <c r="C13" s="6" t="s">
        <v>192</v>
      </c>
      <c r="D13" s="6"/>
      <c r="E13" s="6"/>
      <c r="F13" s="6"/>
    </row>
    <row r="14" spans="1:6" ht="29" x14ac:dyDescent="0.35">
      <c r="A14" s="119"/>
      <c r="B14" s="118"/>
      <c r="C14" s="6" t="s">
        <v>193</v>
      </c>
      <c r="D14" s="6"/>
      <c r="E14" s="6"/>
      <c r="F14" s="6"/>
    </row>
    <row r="15" spans="1:6" ht="43.5" x14ac:dyDescent="0.35">
      <c r="A15" s="119"/>
      <c r="B15" s="118"/>
      <c r="C15" s="6" t="s">
        <v>194</v>
      </c>
      <c r="D15" s="6"/>
      <c r="E15" s="6"/>
      <c r="F15" s="6"/>
    </row>
    <row r="16" spans="1:6" ht="58" x14ac:dyDescent="0.35">
      <c r="A16" s="119"/>
      <c r="B16" s="118"/>
      <c r="C16" s="6" t="s">
        <v>195</v>
      </c>
      <c r="D16" s="6"/>
      <c r="E16" s="6"/>
      <c r="F16" s="6"/>
    </row>
    <row r="17" spans="1:6" ht="43.5" x14ac:dyDescent="0.35">
      <c r="A17" s="119" t="s">
        <v>177</v>
      </c>
      <c r="B17" s="118" t="s">
        <v>196</v>
      </c>
      <c r="C17" s="6" t="s">
        <v>197</v>
      </c>
      <c r="D17" s="6" t="s">
        <v>198</v>
      </c>
      <c r="E17" s="6" t="s">
        <v>199</v>
      </c>
      <c r="F17" s="6"/>
    </row>
    <row r="18" spans="1:6" ht="43.5" x14ac:dyDescent="0.35">
      <c r="A18" s="119"/>
      <c r="B18" s="118"/>
      <c r="C18" s="6" t="s">
        <v>200</v>
      </c>
      <c r="D18" s="6"/>
      <c r="E18" s="6" t="s">
        <v>201</v>
      </c>
      <c r="F18" s="6"/>
    </row>
    <row r="19" spans="1:6" ht="43.5" x14ac:dyDescent="0.35">
      <c r="A19" s="119"/>
      <c r="B19" s="118"/>
      <c r="C19" s="6" t="s">
        <v>202</v>
      </c>
      <c r="D19" s="6"/>
      <c r="E19" s="6" t="s">
        <v>203</v>
      </c>
      <c r="F19" s="6"/>
    </row>
    <row r="20" spans="1:6" ht="58" x14ac:dyDescent="0.35">
      <c r="A20" s="119"/>
      <c r="B20" s="118"/>
      <c r="C20" s="6" t="s">
        <v>204</v>
      </c>
      <c r="D20" s="6"/>
      <c r="E20" s="6"/>
      <c r="F20" s="6"/>
    </row>
    <row r="21" spans="1:6" x14ac:dyDescent="0.35">
      <c r="A21" s="119"/>
      <c r="B21" s="118"/>
      <c r="C21" s="6" t="s">
        <v>205</v>
      </c>
      <c r="D21" s="6"/>
      <c r="E21" s="6"/>
      <c r="F21" s="6"/>
    </row>
    <row r="22" spans="1:6" ht="43.5" x14ac:dyDescent="0.35">
      <c r="A22" s="119"/>
      <c r="B22" s="118"/>
      <c r="C22" s="6" t="s">
        <v>206</v>
      </c>
      <c r="D22" s="6"/>
      <c r="E22" s="6"/>
      <c r="F22" s="6" t="s">
        <v>207</v>
      </c>
    </row>
    <row r="23" spans="1:6" ht="29" x14ac:dyDescent="0.35">
      <c r="A23" s="119"/>
      <c r="B23" s="118"/>
      <c r="C23" s="6" t="s">
        <v>208</v>
      </c>
      <c r="D23" s="6"/>
      <c r="E23" s="6"/>
      <c r="F23" s="6" t="s">
        <v>209</v>
      </c>
    </row>
    <row r="24" spans="1:6" ht="29" x14ac:dyDescent="0.35">
      <c r="A24" s="119"/>
      <c r="B24" s="118"/>
      <c r="C24" s="6" t="s">
        <v>210</v>
      </c>
      <c r="D24" s="6"/>
      <c r="E24" s="6"/>
      <c r="F24" s="6" t="s">
        <v>211</v>
      </c>
    </row>
    <row r="25" spans="1:6" ht="72.5" x14ac:dyDescent="0.35">
      <c r="A25" s="119"/>
      <c r="B25" s="118"/>
      <c r="C25" s="6" t="s">
        <v>212</v>
      </c>
      <c r="D25" s="6" t="s">
        <v>213</v>
      </c>
      <c r="E25" s="6"/>
      <c r="F25" s="6"/>
    </row>
    <row r="26" spans="1:6" ht="58" x14ac:dyDescent="0.35">
      <c r="A26" s="119"/>
      <c r="B26" s="118"/>
      <c r="C26" s="6" t="s">
        <v>214</v>
      </c>
      <c r="D26" s="6"/>
      <c r="E26" s="6"/>
      <c r="F26" s="6" t="s">
        <v>215</v>
      </c>
    </row>
    <row r="27" spans="1:6" ht="72.5" x14ac:dyDescent="0.35">
      <c r="A27" s="119"/>
      <c r="B27" s="118"/>
      <c r="C27" s="6" t="s">
        <v>216</v>
      </c>
      <c r="D27" s="6"/>
      <c r="E27" s="6"/>
      <c r="F27" s="6" t="s">
        <v>217</v>
      </c>
    </row>
    <row r="28" spans="1:6" ht="43.5" x14ac:dyDescent="0.35">
      <c r="A28" s="119"/>
      <c r="B28" s="118"/>
      <c r="C28" s="6" t="s">
        <v>218</v>
      </c>
      <c r="D28" s="6"/>
      <c r="E28" s="6"/>
      <c r="F28" s="6"/>
    </row>
    <row r="29" spans="1:6" ht="58" x14ac:dyDescent="0.35">
      <c r="A29" s="119"/>
      <c r="B29" s="118"/>
      <c r="C29" s="6" t="s">
        <v>219</v>
      </c>
      <c r="D29" s="6"/>
      <c r="E29" s="6"/>
      <c r="F29" s="6"/>
    </row>
    <row r="30" spans="1:6" ht="29" x14ac:dyDescent="0.35">
      <c r="A30" s="9" t="s">
        <v>177</v>
      </c>
      <c r="B30" s="10" t="s">
        <v>220</v>
      </c>
      <c r="C30" s="6"/>
      <c r="D30" s="6"/>
      <c r="E30" s="6"/>
      <c r="F30" s="12" t="s">
        <v>221</v>
      </c>
    </row>
    <row r="31" spans="1:6" ht="58" x14ac:dyDescent="0.35">
      <c r="A31" s="119" t="s">
        <v>177</v>
      </c>
      <c r="B31" s="119" t="s">
        <v>222</v>
      </c>
      <c r="C31" s="6" t="s">
        <v>223</v>
      </c>
      <c r="D31" s="6"/>
      <c r="E31" s="6"/>
      <c r="F31" s="6"/>
    </row>
    <row r="32" spans="1:6" ht="72.5" x14ac:dyDescent="0.35">
      <c r="A32" s="119"/>
      <c r="B32" s="119"/>
      <c r="C32" s="6" t="s">
        <v>224</v>
      </c>
      <c r="D32" s="6"/>
      <c r="E32" s="6"/>
      <c r="F32" s="6"/>
    </row>
    <row r="33" spans="1:6" ht="43.5" x14ac:dyDescent="0.35">
      <c r="A33" s="119"/>
      <c r="B33" s="119"/>
      <c r="C33" s="6" t="s">
        <v>225</v>
      </c>
      <c r="D33" s="6"/>
      <c r="E33" s="6"/>
      <c r="F33" s="6"/>
    </row>
    <row r="34" spans="1:6" ht="72.5" x14ac:dyDescent="0.35">
      <c r="A34" s="119"/>
      <c r="B34" s="119"/>
      <c r="C34" s="6" t="s">
        <v>226</v>
      </c>
      <c r="D34" s="6" t="s">
        <v>227</v>
      </c>
      <c r="E34" s="6"/>
      <c r="F34" s="6"/>
    </row>
    <row r="35" spans="1:6" ht="29" x14ac:dyDescent="0.35">
      <c r="A35" s="119"/>
      <c r="B35" s="119"/>
      <c r="C35" s="6" t="s">
        <v>228</v>
      </c>
      <c r="D35" s="6"/>
      <c r="E35" s="6"/>
      <c r="F35" s="6"/>
    </row>
    <row r="36" spans="1:6" ht="72.5" x14ac:dyDescent="0.35">
      <c r="A36" s="9" t="s">
        <v>177</v>
      </c>
      <c r="B36" s="10" t="s">
        <v>229</v>
      </c>
      <c r="C36" s="6" t="s">
        <v>226</v>
      </c>
      <c r="D36" s="6" t="s">
        <v>230</v>
      </c>
      <c r="E36" s="6"/>
      <c r="F36" s="6"/>
    </row>
    <row r="37" spans="1:6" x14ac:dyDescent="0.35">
      <c r="A37" s="11"/>
      <c r="B37" s="11"/>
      <c r="C37" s="11"/>
      <c r="D37" s="20"/>
      <c r="E37" s="11"/>
      <c r="F37" s="11"/>
    </row>
    <row r="38" spans="1:6" ht="130.5" x14ac:dyDescent="0.35">
      <c r="A38" s="119" t="s">
        <v>41</v>
      </c>
      <c r="B38" s="118" t="s">
        <v>231</v>
      </c>
      <c r="C38" s="6" t="s">
        <v>232</v>
      </c>
      <c r="D38" s="6" t="s">
        <v>233</v>
      </c>
      <c r="E38" s="6"/>
      <c r="F38" s="6"/>
    </row>
    <row r="39" spans="1:6" ht="29" x14ac:dyDescent="0.35">
      <c r="A39" s="119"/>
      <c r="B39" s="118"/>
      <c r="C39" s="6"/>
      <c r="D39" s="6" t="s">
        <v>234</v>
      </c>
      <c r="E39" s="6"/>
      <c r="F39" s="6"/>
    </row>
    <row r="40" spans="1:6" ht="29" x14ac:dyDescent="0.35">
      <c r="A40" s="119"/>
      <c r="B40" s="118"/>
      <c r="C40" s="6"/>
      <c r="D40" s="6" t="s">
        <v>235</v>
      </c>
      <c r="E40" s="6"/>
      <c r="F40" s="6"/>
    </row>
    <row r="41" spans="1:6" ht="29" x14ac:dyDescent="0.35">
      <c r="A41" s="119"/>
      <c r="B41" s="118"/>
      <c r="C41" s="6"/>
      <c r="D41" s="6" t="s">
        <v>236</v>
      </c>
      <c r="E41" s="6"/>
      <c r="F41" s="6"/>
    </row>
    <row r="42" spans="1:6" ht="29" x14ac:dyDescent="0.35">
      <c r="A42" s="119"/>
      <c r="B42" s="118"/>
      <c r="C42" s="6"/>
      <c r="D42" s="6" t="s">
        <v>237</v>
      </c>
      <c r="E42" s="6"/>
      <c r="F42" s="6"/>
    </row>
    <row r="43" spans="1:6" ht="29" x14ac:dyDescent="0.35">
      <c r="A43" s="119"/>
      <c r="B43" s="118"/>
      <c r="C43" s="6"/>
      <c r="D43" s="6" t="s">
        <v>238</v>
      </c>
      <c r="E43" s="6"/>
      <c r="F43" s="6"/>
    </row>
    <row r="44" spans="1:6" x14ac:dyDescent="0.35">
      <c r="A44" s="119"/>
      <c r="B44" s="118"/>
      <c r="C44" s="6"/>
      <c r="D44" s="6" t="s">
        <v>239</v>
      </c>
      <c r="E44" s="6"/>
      <c r="F44" s="6"/>
    </row>
    <row r="45" spans="1:6" ht="101.5" x14ac:dyDescent="0.35">
      <c r="A45" s="119"/>
      <c r="B45" s="118"/>
      <c r="C45" s="6" t="s">
        <v>240</v>
      </c>
      <c r="D45" s="6" t="s">
        <v>241</v>
      </c>
      <c r="E45" s="6"/>
      <c r="F45" s="6"/>
    </row>
    <row r="46" spans="1:6" ht="130.5" x14ac:dyDescent="0.35">
      <c r="A46" s="119"/>
      <c r="B46" s="118"/>
      <c r="C46" s="6" t="s">
        <v>242</v>
      </c>
      <c r="D46" s="6" t="s">
        <v>243</v>
      </c>
      <c r="E46" s="6"/>
      <c r="F46" s="6"/>
    </row>
    <row r="47" spans="1:6" ht="159.5" x14ac:dyDescent="0.35">
      <c r="A47" s="119"/>
      <c r="B47" s="118"/>
      <c r="C47" s="6" t="s">
        <v>244</v>
      </c>
      <c r="D47" s="6" t="s">
        <v>245</v>
      </c>
      <c r="E47" s="6"/>
      <c r="F47" s="6"/>
    </row>
    <row r="48" spans="1:6" ht="29" x14ac:dyDescent="0.35">
      <c r="A48" s="119"/>
      <c r="B48" s="118"/>
      <c r="C48" s="6"/>
      <c r="D48" s="6" t="s">
        <v>246</v>
      </c>
      <c r="E48" s="6"/>
      <c r="F48" s="6"/>
    </row>
    <row r="49" spans="1:6" ht="29" x14ac:dyDescent="0.35">
      <c r="A49" s="119"/>
      <c r="B49" s="118"/>
      <c r="C49" s="6"/>
      <c r="D49" s="6" t="s">
        <v>247</v>
      </c>
      <c r="E49" s="6"/>
      <c r="F49" s="6"/>
    </row>
    <row r="50" spans="1:6" ht="116" x14ac:dyDescent="0.35">
      <c r="A50" s="119"/>
      <c r="B50" s="118"/>
      <c r="C50" s="6" t="s">
        <v>248</v>
      </c>
      <c r="D50" s="6" t="s">
        <v>249</v>
      </c>
      <c r="E50" s="6"/>
      <c r="F50" s="6"/>
    </row>
    <row r="51" spans="1:6" ht="116" x14ac:dyDescent="0.35">
      <c r="A51" s="119"/>
      <c r="B51" s="118"/>
      <c r="C51" s="6" t="s">
        <v>250</v>
      </c>
      <c r="D51" s="6" t="s">
        <v>251</v>
      </c>
      <c r="E51" s="6"/>
      <c r="F51" s="6"/>
    </row>
    <row r="52" spans="1:6" ht="130.5" x14ac:dyDescent="0.35">
      <c r="A52" s="119"/>
      <c r="B52" s="118"/>
      <c r="C52" s="6" t="s">
        <v>252</v>
      </c>
      <c r="D52" s="6" t="s">
        <v>253</v>
      </c>
      <c r="E52" s="6"/>
      <c r="F52" s="6"/>
    </row>
    <row r="53" spans="1:6" ht="29" x14ac:dyDescent="0.35">
      <c r="A53" s="9" t="s">
        <v>41</v>
      </c>
      <c r="B53" s="10" t="s">
        <v>254</v>
      </c>
      <c r="C53" s="6"/>
      <c r="D53" s="6"/>
      <c r="E53" s="6"/>
      <c r="F53" s="12" t="s">
        <v>255</v>
      </c>
    </row>
    <row r="54" spans="1:6" ht="87" x14ac:dyDescent="0.35">
      <c r="A54" s="119" t="s">
        <v>41</v>
      </c>
      <c r="B54" s="119" t="s">
        <v>256</v>
      </c>
      <c r="C54" s="6" t="s">
        <v>257</v>
      </c>
      <c r="D54" s="6" t="s">
        <v>258</v>
      </c>
      <c r="E54" s="6"/>
      <c r="F54" s="6"/>
    </row>
    <row r="55" spans="1:6" ht="101.5" x14ac:dyDescent="0.35">
      <c r="A55" s="119"/>
      <c r="B55" s="119"/>
      <c r="C55" s="6" t="s">
        <v>259</v>
      </c>
      <c r="D55" s="6" t="s">
        <v>260</v>
      </c>
      <c r="E55" s="6"/>
      <c r="F55" s="6"/>
    </row>
    <row r="56" spans="1:6" ht="29" x14ac:dyDescent="0.35">
      <c r="A56" s="119"/>
      <c r="B56" s="119"/>
      <c r="C56" s="6"/>
      <c r="D56" s="6" t="s">
        <v>238</v>
      </c>
      <c r="E56" s="6"/>
      <c r="F56" s="6"/>
    </row>
    <row r="57" spans="1:6" x14ac:dyDescent="0.35">
      <c r="A57" s="119"/>
      <c r="B57" s="119"/>
      <c r="C57" s="6"/>
      <c r="D57" s="6" t="s">
        <v>261</v>
      </c>
      <c r="E57" s="6"/>
      <c r="F57" s="6"/>
    </row>
    <row r="58" spans="1:6" x14ac:dyDescent="0.35">
      <c r="A58" s="119"/>
      <c r="B58" s="119"/>
      <c r="C58" s="6"/>
      <c r="D58" s="6" t="s">
        <v>262</v>
      </c>
      <c r="E58" s="6"/>
      <c r="F58" s="6"/>
    </row>
    <row r="59" spans="1:6" ht="116" x14ac:dyDescent="0.35">
      <c r="A59" s="119"/>
      <c r="B59" s="119"/>
      <c r="C59" s="6" t="s">
        <v>263</v>
      </c>
      <c r="D59" s="6" t="s">
        <v>264</v>
      </c>
      <c r="E59" s="6"/>
      <c r="F59" s="6"/>
    </row>
    <row r="60" spans="1:6" ht="29" x14ac:dyDescent="0.35">
      <c r="A60" s="2" t="s">
        <v>41</v>
      </c>
      <c r="B60" s="3" t="s">
        <v>265</v>
      </c>
      <c r="C60" s="6"/>
      <c r="D60" s="6"/>
      <c r="E60" s="6"/>
      <c r="F60" s="12" t="s">
        <v>266</v>
      </c>
    </row>
    <row r="61" spans="1:6" ht="29" x14ac:dyDescent="0.35">
      <c r="A61" s="2" t="s">
        <v>41</v>
      </c>
      <c r="B61" s="3" t="s">
        <v>267</v>
      </c>
      <c r="C61" s="6"/>
      <c r="D61" s="6"/>
      <c r="E61" s="6"/>
      <c r="F61" s="12" t="s">
        <v>268</v>
      </c>
    </row>
    <row r="62" spans="1:6" ht="72.5" x14ac:dyDescent="0.35">
      <c r="A62" s="2" t="s">
        <v>41</v>
      </c>
      <c r="B62" s="3" t="s">
        <v>269</v>
      </c>
      <c r="C62" s="6" t="s">
        <v>270</v>
      </c>
      <c r="D62" s="6" t="s">
        <v>271</v>
      </c>
      <c r="E62" s="6"/>
      <c r="F62" s="6"/>
    </row>
    <row r="63" spans="1:6" x14ac:dyDescent="0.35">
      <c r="A63" s="2"/>
      <c r="B63" s="3"/>
      <c r="C63" s="6"/>
      <c r="D63" s="6" t="s">
        <v>272</v>
      </c>
      <c r="E63" s="6"/>
      <c r="F63" s="6"/>
    </row>
    <row r="64" spans="1:6" ht="29" x14ac:dyDescent="0.35">
      <c r="A64" s="2"/>
      <c r="B64" s="3"/>
      <c r="C64" s="6"/>
      <c r="D64" s="6" t="s">
        <v>273</v>
      </c>
      <c r="E64" s="6"/>
      <c r="F64" s="6"/>
    </row>
    <row r="65" spans="1:6" ht="43.5" x14ac:dyDescent="0.35">
      <c r="A65" s="2"/>
      <c r="B65" s="3"/>
      <c r="C65" s="6"/>
      <c r="D65" s="6" t="s">
        <v>274</v>
      </c>
      <c r="E65" s="6"/>
      <c r="F65" s="6"/>
    </row>
    <row r="66" spans="1:6" x14ac:dyDescent="0.35">
      <c r="A66" s="2"/>
      <c r="B66" s="3"/>
      <c r="C66" s="6"/>
      <c r="D66" s="6" t="s">
        <v>275</v>
      </c>
      <c r="E66" s="6"/>
      <c r="F66" s="6"/>
    </row>
    <row r="67" spans="1:6" x14ac:dyDescent="0.35">
      <c r="A67" s="2"/>
      <c r="B67" s="3"/>
      <c r="C67" s="6"/>
      <c r="D67" s="6" t="s">
        <v>276</v>
      </c>
      <c r="E67" s="6"/>
      <c r="F67" s="6"/>
    </row>
    <row r="68" spans="1:6" x14ac:dyDescent="0.35">
      <c r="A68" s="2"/>
      <c r="B68" s="3"/>
      <c r="C68" s="6"/>
      <c r="D68" s="6" t="s">
        <v>277</v>
      </c>
      <c r="E68" s="6"/>
      <c r="F68" s="6"/>
    </row>
    <row r="69" spans="1:6" ht="29" x14ac:dyDescent="0.35">
      <c r="A69" s="2"/>
      <c r="B69" s="3"/>
      <c r="C69" s="6"/>
      <c r="D69" s="6" t="s">
        <v>278</v>
      </c>
      <c r="E69" s="6"/>
      <c r="F69" s="6"/>
    </row>
    <row r="70" spans="1:6" x14ac:dyDescent="0.35">
      <c r="A70" s="2"/>
      <c r="B70" s="3"/>
      <c r="C70" s="6"/>
      <c r="D70" s="6" t="s">
        <v>279</v>
      </c>
      <c r="E70" s="6"/>
      <c r="F70" s="6"/>
    </row>
    <row r="71" spans="1:6" ht="72.5" x14ac:dyDescent="0.35">
      <c r="A71" s="2" t="s">
        <v>41</v>
      </c>
      <c r="B71" s="3" t="s">
        <v>280</v>
      </c>
      <c r="C71" s="6" t="s">
        <v>281</v>
      </c>
      <c r="D71" s="6" t="s">
        <v>282</v>
      </c>
      <c r="E71" s="6"/>
      <c r="F71" s="6"/>
    </row>
    <row r="72" spans="1:6" ht="29" x14ac:dyDescent="0.35">
      <c r="A72" s="2" t="s">
        <v>41</v>
      </c>
      <c r="B72" s="3" t="s">
        <v>283</v>
      </c>
      <c r="C72" s="6"/>
      <c r="D72" s="6"/>
      <c r="E72" s="6"/>
      <c r="F72" s="12" t="s">
        <v>284</v>
      </c>
    </row>
    <row r="73" spans="1:6" x14ac:dyDescent="0.35">
      <c r="A73" s="51"/>
      <c r="B73" s="51"/>
      <c r="C73" s="51"/>
      <c r="D73" s="51"/>
      <c r="E73" s="51"/>
      <c r="F73" s="51"/>
    </row>
    <row r="74" spans="1:6" ht="43.5" x14ac:dyDescent="0.35">
      <c r="A74" s="2" t="s">
        <v>44</v>
      </c>
      <c r="B74" s="50" t="s">
        <v>285</v>
      </c>
      <c r="C74" s="6"/>
      <c r="D74" s="6"/>
      <c r="E74" s="6"/>
      <c r="F74" s="6" t="s">
        <v>166</v>
      </c>
    </row>
    <row r="75" spans="1:6" ht="29" x14ac:dyDescent="0.35">
      <c r="A75" s="2" t="s">
        <v>44</v>
      </c>
      <c r="B75" s="50" t="s">
        <v>286</v>
      </c>
      <c r="C75" s="6"/>
      <c r="D75" s="6"/>
      <c r="E75" s="6"/>
      <c r="F75" s="6" t="s">
        <v>166</v>
      </c>
    </row>
    <row r="76" spans="1:6" ht="29" x14ac:dyDescent="0.35">
      <c r="A76" s="2" t="s">
        <v>44</v>
      </c>
      <c r="B76" s="50" t="s">
        <v>287</v>
      </c>
      <c r="C76" s="6"/>
      <c r="D76" s="6"/>
      <c r="E76" s="6"/>
      <c r="F76" s="6" t="s">
        <v>166</v>
      </c>
    </row>
    <row r="77" spans="1:6" ht="29" x14ac:dyDescent="0.35">
      <c r="A77" s="2" t="s">
        <v>44</v>
      </c>
      <c r="B77" s="50" t="s">
        <v>288</v>
      </c>
      <c r="C77" s="6"/>
      <c r="D77" s="6"/>
      <c r="E77" s="6"/>
      <c r="F77" s="6" t="s">
        <v>166</v>
      </c>
    </row>
    <row r="78" spans="1:6" ht="29" x14ac:dyDescent="0.35">
      <c r="A78" s="2" t="s">
        <v>44</v>
      </c>
      <c r="B78" s="50" t="s">
        <v>289</v>
      </c>
      <c r="C78" s="6"/>
      <c r="D78" s="6"/>
      <c r="E78" s="6"/>
      <c r="F78" s="6" t="s">
        <v>166</v>
      </c>
    </row>
    <row r="79" spans="1:6" ht="29" x14ac:dyDescent="0.35">
      <c r="A79" s="2" t="s">
        <v>44</v>
      </c>
      <c r="B79" s="50" t="s">
        <v>290</v>
      </c>
      <c r="C79" s="6"/>
      <c r="D79" s="6"/>
      <c r="E79" s="6"/>
      <c r="F79" s="6" t="s">
        <v>166</v>
      </c>
    </row>
    <row r="80" spans="1:6" ht="29" x14ac:dyDescent="0.35">
      <c r="A80" s="2" t="s">
        <v>44</v>
      </c>
      <c r="B80" s="50" t="s">
        <v>291</v>
      </c>
      <c r="C80" s="6"/>
      <c r="D80" s="6"/>
      <c r="E80" s="6"/>
      <c r="F80" s="6" t="s">
        <v>166</v>
      </c>
    </row>
    <row r="81" spans="1:6" ht="43.5" x14ac:dyDescent="0.35">
      <c r="A81" s="2" t="s">
        <v>44</v>
      </c>
      <c r="B81" s="50" t="s">
        <v>292</v>
      </c>
      <c r="C81" s="6"/>
      <c r="D81" s="6"/>
      <c r="E81" s="6"/>
      <c r="F81" s="6" t="s">
        <v>166</v>
      </c>
    </row>
  </sheetData>
  <mergeCells count="12">
    <mergeCell ref="A54:A59"/>
    <mergeCell ref="B54:B59"/>
    <mergeCell ref="A31:A35"/>
    <mergeCell ref="B31:B35"/>
    <mergeCell ref="A38:A52"/>
    <mergeCell ref="B38:B52"/>
    <mergeCell ref="A2:A4"/>
    <mergeCell ref="B2:B4"/>
    <mergeCell ref="A5:A16"/>
    <mergeCell ref="B5:B16"/>
    <mergeCell ref="A17:A29"/>
    <mergeCell ref="B17:B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2415-C201-48D6-A677-82EACF92F33C}">
  <dimension ref="A1:E43"/>
  <sheetViews>
    <sheetView zoomScale="90" zoomScaleNormal="90" workbookViewId="0">
      <selection activeCell="I9" sqref="I9"/>
    </sheetView>
  </sheetViews>
  <sheetFormatPr defaultRowHeight="14.5" x14ac:dyDescent="0.35"/>
  <cols>
    <col min="2" max="2" width="10.81640625" bestFit="1" customWidth="1"/>
    <col min="3" max="3" width="58.54296875" bestFit="1" customWidth="1"/>
    <col min="4" max="4" width="8.7265625" style="21"/>
    <col min="5" max="5" width="16.7265625" customWidth="1"/>
  </cols>
  <sheetData>
    <row r="1" spans="1:5" ht="15" thickBot="1" x14ac:dyDescent="0.4">
      <c r="A1" s="22" t="s">
        <v>293</v>
      </c>
      <c r="B1" s="22" t="s">
        <v>294</v>
      </c>
      <c r="C1" s="22" t="s">
        <v>295</v>
      </c>
      <c r="D1" s="23" t="s">
        <v>296</v>
      </c>
      <c r="E1" s="25" t="s">
        <v>297</v>
      </c>
    </row>
    <row r="2" spans="1:5" x14ac:dyDescent="0.35">
      <c r="A2" s="131" t="s">
        <v>9</v>
      </c>
      <c r="B2" s="137" t="s">
        <v>298</v>
      </c>
      <c r="C2" s="26" t="s">
        <v>299</v>
      </c>
      <c r="D2" s="33">
        <v>50</v>
      </c>
      <c r="E2" s="138">
        <f>SUM(D2:D6)</f>
        <v>110</v>
      </c>
    </row>
    <row r="3" spans="1:5" x14ac:dyDescent="0.35">
      <c r="A3" s="132"/>
      <c r="B3" s="129"/>
      <c r="C3" s="2" t="s">
        <v>23</v>
      </c>
      <c r="D3" s="34">
        <v>15</v>
      </c>
      <c r="E3" s="139"/>
    </row>
    <row r="4" spans="1:5" x14ac:dyDescent="0.35">
      <c r="A4" s="132"/>
      <c r="B4" s="129"/>
      <c r="C4" s="2" t="s">
        <v>28</v>
      </c>
      <c r="D4" s="34">
        <v>10</v>
      </c>
      <c r="E4" s="139"/>
    </row>
    <row r="5" spans="1:5" x14ac:dyDescent="0.35">
      <c r="A5" s="132"/>
      <c r="B5" s="129"/>
      <c r="C5" s="2" t="s">
        <v>33</v>
      </c>
      <c r="D5" s="34">
        <v>25</v>
      </c>
      <c r="E5" s="139"/>
    </row>
    <row r="6" spans="1:5" ht="15" thickBot="1" x14ac:dyDescent="0.4">
      <c r="A6" s="132"/>
      <c r="B6" s="130"/>
      <c r="C6" s="28" t="s">
        <v>121</v>
      </c>
      <c r="D6" s="35">
        <v>10</v>
      </c>
      <c r="E6" s="140"/>
    </row>
    <row r="7" spans="1:5" x14ac:dyDescent="0.35">
      <c r="A7" s="132"/>
      <c r="B7" s="128" t="s">
        <v>300</v>
      </c>
      <c r="C7" s="27" t="s">
        <v>128</v>
      </c>
      <c r="D7" s="36">
        <v>15</v>
      </c>
      <c r="E7" s="138">
        <f>SUM(D7:D14)</f>
        <v>80</v>
      </c>
    </row>
    <row r="8" spans="1:5" x14ac:dyDescent="0.35">
      <c r="A8" s="132"/>
      <c r="B8" s="129"/>
      <c r="C8" s="2" t="s">
        <v>140</v>
      </c>
      <c r="D8" s="34">
        <v>10</v>
      </c>
      <c r="E8" s="139"/>
    </row>
    <row r="9" spans="1:5" x14ac:dyDescent="0.35">
      <c r="A9" s="132"/>
      <c r="B9" s="129"/>
      <c r="C9" s="2" t="s">
        <v>144</v>
      </c>
      <c r="D9" s="34">
        <v>10</v>
      </c>
      <c r="E9" s="139"/>
    </row>
    <row r="10" spans="1:5" x14ac:dyDescent="0.35">
      <c r="A10" s="132"/>
      <c r="B10" s="129"/>
      <c r="C10" s="2" t="s">
        <v>149</v>
      </c>
      <c r="D10" s="34">
        <v>10</v>
      </c>
      <c r="E10" s="139"/>
    </row>
    <row r="11" spans="1:5" x14ac:dyDescent="0.35">
      <c r="A11" s="132"/>
      <c r="B11" s="129"/>
      <c r="C11" s="2" t="s">
        <v>155</v>
      </c>
      <c r="D11" s="34">
        <v>10</v>
      </c>
      <c r="E11" s="139"/>
    </row>
    <row r="12" spans="1:5" x14ac:dyDescent="0.35">
      <c r="A12" s="132"/>
      <c r="B12" s="129"/>
      <c r="C12" s="2" t="s">
        <v>161</v>
      </c>
      <c r="D12" s="34">
        <v>10</v>
      </c>
      <c r="E12" s="139"/>
    </row>
    <row r="13" spans="1:5" x14ac:dyDescent="0.35">
      <c r="A13" s="132"/>
      <c r="B13" s="129"/>
      <c r="C13" s="2" t="s">
        <v>163</v>
      </c>
      <c r="D13" s="34">
        <v>5</v>
      </c>
      <c r="E13" s="139"/>
    </row>
    <row r="14" spans="1:5" ht="15" thickBot="1" x14ac:dyDescent="0.4">
      <c r="A14" s="132"/>
      <c r="B14" s="130"/>
      <c r="C14" s="28" t="s">
        <v>164</v>
      </c>
      <c r="D14" s="35">
        <v>10</v>
      </c>
      <c r="E14" s="140"/>
    </row>
    <row r="15" spans="1:5" x14ac:dyDescent="0.35">
      <c r="A15" s="132"/>
      <c r="B15" s="128" t="s">
        <v>44</v>
      </c>
      <c r="C15" s="27" t="s">
        <v>165</v>
      </c>
      <c r="D15" s="36">
        <v>5</v>
      </c>
      <c r="E15" s="138">
        <f>SUM(D15:D20)</f>
        <v>30</v>
      </c>
    </row>
    <row r="16" spans="1:5" x14ac:dyDescent="0.35">
      <c r="A16" s="132"/>
      <c r="B16" s="129"/>
      <c r="C16" s="2" t="s">
        <v>167</v>
      </c>
      <c r="D16" s="34">
        <v>5</v>
      </c>
      <c r="E16" s="139"/>
    </row>
    <row r="17" spans="1:5" x14ac:dyDescent="0.35">
      <c r="A17" s="132"/>
      <c r="B17" s="129"/>
      <c r="C17" s="2" t="s">
        <v>168</v>
      </c>
      <c r="D17" s="34">
        <v>5</v>
      </c>
      <c r="E17" s="139"/>
    </row>
    <row r="18" spans="1:5" x14ac:dyDescent="0.35">
      <c r="A18" s="132"/>
      <c r="B18" s="129"/>
      <c r="C18" s="3" t="s">
        <v>171</v>
      </c>
      <c r="D18" s="34">
        <v>5</v>
      </c>
      <c r="E18" s="139"/>
    </row>
    <row r="19" spans="1:5" x14ac:dyDescent="0.35">
      <c r="A19" s="132"/>
      <c r="B19" s="129"/>
      <c r="C19" s="3" t="s">
        <v>172</v>
      </c>
      <c r="D19" s="34">
        <v>5</v>
      </c>
      <c r="E19" s="139"/>
    </row>
    <row r="20" spans="1:5" ht="15" thickBot="1" x14ac:dyDescent="0.4">
      <c r="A20" s="133"/>
      <c r="B20" s="130"/>
      <c r="C20" s="28" t="s">
        <v>174</v>
      </c>
      <c r="D20" s="35">
        <v>5</v>
      </c>
      <c r="E20" s="140"/>
    </row>
    <row r="21" spans="1:5" ht="15" thickBot="1" x14ac:dyDescent="0.4">
      <c r="A21" s="29"/>
      <c r="B21" s="29"/>
      <c r="C21" s="29"/>
      <c r="D21" s="37"/>
      <c r="E21" s="29"/>
    </row>
    <row r="22" spans="1:5" x14ac:dyDescent="0.35">
      <c r="A22" s="134" t="s">
        <v>45</v>
      </c>
      <c r="B22" s="128" t="s">
        <v>298</v>
      </c>
      <c r="C22" s="27" t="s">
        <v>178</v>
      </c>
      <c r="D22" s="36">
        <v>15</v>
      </c>
      <c r="E22" s="138">
        <f>SUM(D22:D27)</f>
        <v>95</v>
      </c>
    </row>
    <row r="23" spans="1:5" x14ac:dyDescent="0.35">
      <c r="A23" s="135"/>
      <c r="B23" s="129"/>
      <c r="C23" s="2" t="s">
        <v>183</v>
      </c>
      <c r="D23" s="34">
        <v>20</v>
      </c>
      <c r="E23" s="139"/>
    </row>
    <row r="24" spans="1:5" x14ac:dyDescent="0.35">
      <c r="A24" s="135"/>
      <c r="B24" s="129"/>
      <c r="C24" s="2" t="s">
        <v>196</v>
      </c>
      <c r="D24" s="34">
        <v>30</v>
      </c>
      <c r="E24" s="139"/>
    </row>
    <row r="25" spans="1:5" x14ac:dyDescent="0.35">
      <c r="A25" s="135"/>
      <c r="B25" s="129"/>
      <c r="C25" s="10" t="s">
        <v>220</v>
      </c>
      <c r="D25" s="34">
        <v>15</v>
      </c>
      <c r="E25" s="139"/>
    </row>
    <row r="26" spans="1:5" x14ac:dyDescent="0.35">
      <c r="A26" s="135"/>
      <c r="B26" s="129"/>
      <c r="C26" s="2" t="s">
        <v>222</v>
      </c>
      <c r="D26" s="34">
        <v>10</v>
      </c>
      <c r="E26" s="139"/>
    </row>
    <row r="27" spans="1:5" ht="15" thickBot="1" x14ac:dyDescent="0.4">
      <c r="A27" s="135"/>
      <c r="B27" s="130"/>
      <c r="C27" s="30" t="s">
        <v>229</v>
      </c>
      <c r="D27" s="35">
        <v>5</v>
      </c>
      <c r="E27" s="140"/>
    </row>
    <row r="28" spans="1:5" x14ac:dyDescent="0.35">
      <c r="A28" s="135"/>
      <c r="B28" s="128" t="s">
        <v>300</v>
      </c>
      <c r="C28" s="27" t="s">
        <v>231</v>
      </c>
      <c r="D28" s="36">
        <v>30</v>
      </c>
      <c r="E28" s="138">
        <f>SUM(D28:D35)</f>
        <v>125</v>
      </c>
    </row>
    <row r="29" spans="1:5" x14ac:dyDescent="0.35">
      <c r="A29" s="135"/>
      <c r="B29" s="129"/>
      <c r="C29" s="10" t="s">
        <v>254</v>
      </c>
      <c r="D29" s="34">
        <v>5</v>
      </c>
      <c r="E29" s="139"/>
    </row>
    <row r="30" spans="1:5" x14ac:dyDescent="0.35">
      <c r="A30" s="135"/>
      <c r="B30" s="129"/>
      <c r="C30" s="2" t="s">
        <v>256</v>
      </c>
      <c r="D30" s="34">
        <v>10</v>
      </c>
      <c r="E30" s="139"/>
    </row>
    <row r="31" spans="1:5" x14ac:dyDescent="0.35">
      <c r="A31" s="135"/>
      <c r="B31" s="129"/>
      <c r="C31" s="2" t="s">
        <v>265</v>
      </c>
      <c r="D31" s="34">
        <v>10</v>
      </c>
      <c r="E31" s="139"/>
    </row>
    <row r="32" spans="1:5" x14ac:dyDescent="0.35">
      <c r="A32" s="135"/>
      <c r="B32" s="129"/>
      <c r="C32" s="3" t="s">
        <v>267</v>
      </c>
      <c r="D32" s="34">
        <v>10</v>
      </c>
      <c r="E32" s="139"/>
    </row>
    <row r="33" spans="1:5" x14ac:dyDescent="0.35">
      <c r="A33" s="135"/>
      <c r="B33" s="129"/>
      <c r="C33" s="3" t="s">
        <v>269</v>
      </c>
      <c r="D33" s="34">
        <v>20</v>
      </c>
      <c r="E33" s="139"/>
    </row>
    <row r="34" spans="1:5" x14ac:dyDescent="0.35">
      <c r="A34" s="135"/>
      <c r="B34" s="129"/>
      <c r="C34" s="3" t="s">
        <v>280</v>
      </c>
      <c r="D34" s="34">
        <v>20</v>
      </c>
      <c r="E34" s="139"/>
    </row>
    <row r="35" spans="1:5" ht="15" thickBot="1" x14ac:dyDescent="0.4">
      <c r="A35" s="135"/>
      <c r="B35" s="130"/>
      <c r="C35" s="31" t="s">
        <v>283</v>
      </c>
      <c r="D35" s="35">
        <v>20</v>
      </c>
      <c r="E35" s="140"/>
    </row>
    <row r="36" spans="1:5" x14ac:dyDescent="0.35">
      <c r="A36" s="135"/>
      <c r="B36" s="128" t="s">
        <v>44</v>
      </c>
      <c r="C36" s="32" t="s">
        <v>285</v>
      </c>
      <c r="D36" s="36">
        <v>10</v>
      </c>
      <c r="E36" s="138">
        <f>SUM(D36:D43)</f>
        <v>45</v>
      </c>
    </row>
    <row r="37" spans="1:5" x14ac:dyDescent="0.35">
      <c r="A37" s="135"/>
      <c r="B37" s="129"/>
      <c r="C37" s="3" t="s">
        <v>286</v>
      </c>
      <c r="D37" s="34">
        <v>5</v>
      </c>
      <c r="E37" s="139"/>
    </row>
    <row r="38" spans="1:5" x14ac:dyDescent="0.35">
      <c r="A38" s="135"/>
      <c r="B38" s="129"/>
      <c r="C38" s="3" t="s">
        <v>287</v>
      </c>
      <c r="D38" s="34">
        <v>5</v>
      </c>
      <c r="E38" s="139"/>
    </row>
    <row r="39" spans="1:5" x14ac:dyDescent="0.35">
      <c r="A39" s="135"/>
      <c r="B39" s="129"/>
      <c r="C39" s="3" t="s">
        <v>288</v>
      </c>
      <c r="D39" s="34">
        <v>5</v>
      </c>
      <c r="E39" s="139"/>
    </row>
    <row r="40" spans="1:5" x14ac:dyDescent="0.35">
      <c r="A40" s="135"/>
      <c r="B40" s="129"/>
      <c r="C40" s="3" t="s">
        <v>289</v>
      </c>
      <c r="D40" s="34">
        <v>5</v>
      </c>
      <c r="E40" s="139"/>
    </row>
    <row r="41" spans="1:5" x14ac:dyDescent="0.35">
      <c r="A41" s="135"/>
      <c r="B41" s="129"/>
      <c r="C41" s="3" t="s">
        <v>290</v>
      </c>
      <c r="D41" s="34">
        <v>5</v>
      </c>
      <c r="E41" s="139"/>
    </row>
    <row r="42" spans="1:5" x14ac:dyDescent="0.35">
      <c r="A42" s="135"/>
      <c r="B42" s="129"/>
      <c r="C42" s="3" t="s">
        <v>291</v>
      </c>
      <c r="D42" s="34">
        <v>5</v>
      </c>
      <c r="E42" s="139"/>
    </row>
    <row r="43" spans="1:5" ht="15" thickBot="1" x14ac:dyDescent="0.4">
      <c r="A43" s="136"/>
      <c r="B43" s="130"/>
      <c r="C43" s="31" t="s">
        <v>292</v>
      </c>
      <c r="D43" s="35">
        <v>5</v>
      </c>
      <c r="E43" s="140"/>
    </row>
  </sheetData>
  <mergeCells count="14">
    <mergeCell ref="E36:E43"/>
    <mergeCell ref="E2:E6"/>
    <mergeCell ref="E7:E14"/>
    <mergeCell ref="E15:E20"/>
    <mergeCell ref="E22:E27"/>
    <mergeCell ref="E28:E35"/>
    <mergeCell ref="B36:B43"/>
    <mergeCell ref="A2:A20"/>
    <mergeCell ref="A22:A43"/>
    <mergeCell ref="B2:B6"/>
    <mergeCell ref="B7:B14"/>
    <mergeCell ref="B15:B20"/>
    <mergeCell ref="B22:B27"/>
    <mergeCell ref="B28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6885-A01D-4D78-B1E4-82F93600DEA5}">
  <dimension ref="A1:G13"/>
  <sheetViews>
    <sheetView workbookViewId="0">
      <selection activeCell="E2" sqref="E2"/>
    </sheetView>
  </sheetViews>
  <sheetFormatPr defaultRowHeight="14.5" x14ac:dyDescent="0.35"/>
  <cols>
    <col min="2" max="2" width="10" bestFit="1" customWidth="1"/>
    <col min="3" max="3" width="11.7265625" customWidth="1"/>
    <col min="4" max="4" width="24.54296875" customWidth="1"/>
    <col min="5" max="5" width="14.453125" customWidth="1"/>
    <col min="6" max="6" width="13.1796875" customWidth="1"/>
    <col min="7" max="7" width="24.1796875" bestFit="1" customWidth="1"/>
  </cols>
  <sheetData>
    <row r="1" spans="1:7" ht="44" thickBot="1" x14ac:dyDescent="0.4">
      <c r="A1" s="39" t="s">
        <v>301</v>
      </c>
      <c r="B1" s="40" t="s">
        <v>294</v>
      </c>
      <c r="C1" s="40" t="s">
        <v>302</v>
      </c>
      <c r="D1" s="40" t="s">
        <v>303</v>
      </c>
      <c r="E1" s="40" t="s">
        <v>304</v>
      </c>
      <c r="F1" s="40" t="s">
        <v>305</v>
      </c>
      <c r="G1" s="41" t="s">
        <v>306</v>
      </c>
    </row>
    <row r="2" spans="1:7" x14ac:dyDescent="0.35">
      <c r="A2" s="141" t="s">
        <v>9</v>
      </c>
      <c r="B2" s="27" t="s">
        <v>298</v>
      </c>
      <c r="C2" s="42">
        <v>5</v>
      </c>
      <c r="D2" s="42">
        <v>110</v>
      </c>
      <c r="E2" s="42">
        <v>50</v>
      </c>
      <c r="F2" s="43">
        <f>ROUND(D2/E2,0)</f>
        <v>2</v>
      </c>
      <c r="G2" s="44" t="s">
        <v>307</v>
      </c>
    </row>
    <row r="3" spans="1:7" x14ac:dyDescent="0.35">
      <c r="A3" s="142"/>
      <c r="B3" s="2" t="s">
        <v>300</v>
      </c>
      <c r="C3" s="38">
        <v>8</v>
      </c>
      <c r="D3" s="38">
        <v>80</v>
      </c>
      <c r="E3" s="38">
        <v>40</v>
      </c>
      <c r="F3" s="24">
        <f>ROUND(D3/E3,0)</f>
        <v>2</v>
      </c>
      <c r="G3" s="45" t="s">
        <v>308</v>
      </c>
    </row>
    <row r="4" spans="1:7" x14ac:dyDescent="0.35">
      <c r="A4" s="142"/>
      <c r="B4" s="2" t="s">
        <v>309</v>
      </c>
      <c r="C4" s="38">
        <v>6</v>
      </c>
      <c r="D4" s="38">
        <v>30</v>
      </c>
      <c r="E4" s="38">
        <v>15</v>
      </c>
      <c r="F4" s="24">
        <f>ROUND(D4/E4,0)</f>
        <v>2</v>
      </c>
      <c r="G4" s="45" t="s">
        <v>310</v>
      </c>
    </row>
    <row r="5" spans="1:7" ht="15" thickBot="1" x14ac:dyDescent="0.4">
      <c r="A5" s="143"/>
      <c r="B5" s="28" t="s">
        <v>311</v>
      </c>
      <c r="C5" s="46"/>
      <c r="D5" s="46">
        <v>190</v>
      </c>
      <c r="E5" s="46">
        <v>75</v>
      </c>
      <c r="F5" s="47">
        <f>ROUND(D5/E5,0)</f>
        <v>3</v>
      </c>
      <c r="G5" s="48" t="s">
        <v>312</v>
      </c>
    </row>
    <row r="6" spans="1:7" ht="15" thickBot="1" x14ac:dyDescent="0.4">
      <c r="C6" s="13"/>
      <c r="D6" s="13"/>
      <c r="F6" s="21"/>
    </row>
    <row r="7" spans="1:7" x14ac:dyDescent="0.35">
      <c r="A7" s="141" t="s">
        <v>45</v>
      </c>
      <c r="B7" s="27" t="s">
        <v>298</v>
      </c>
      <c r="C7" s="42">
        <v>6</v>
      </c>
      <c r="D7" s="42">
        <v>95</v>
      </c>
      <c r="E7" s="43">
        <v>50</v>
      </c>
      <c r="F7" s="43">
        <f>ROUND(D7/E7,0)</f>
        <v>2</v>
      </c>
      <c r="G7" s="44" t="s">
        <v>307</v>
      </c>
    </row>
    <row r="8" spans="1:7" x14ac:dyDescent="0.35">
      <c r="A8" s="142"/>
      <c r="B8" s="2" t="s">
        <v>300</v>
      </c>
      <c r="C8" s="38">
        <v>8</v>
      </c>
      <c r="D8" s="38">
        <v>125</v>
      </c>
      <c r="E8" s="38">
        <v>40</v>
      </c>
      <c r="F8" s="24">
        <f t="shared" ref="F8:F9" si="0">ROUND(D8/E8,0)</f>
        <v>3</v>
      </c>
      <c r="G8" s="45" t="s">
        <v>308</v>
      </c>
    </row>
    <row r="9" spans="1:7" x14ac:dyDescent="0.35">
      <c r="A9" s="142"/>
      <c r="B9" s="2" t="s">
        <v>309</v>
      </c>
      <c r="C9" s="38">
        <v>8</v>
      </c>
      <c r="D9" s="38">
        <v>45</v>
      </c>
      <c r="E9" s="38">
        <v>15</v>
      </c>
      <c r="F9" s="24">
        <f t="shared" si="0"/>
        <v>3</v>
      </c>
      <c r="G9" s="45" t="s">
        <v>310</v>
      </c>
    </row>
    <row r="10" spans="1:7" ht="15" thickBot="1" x14ac:dyDescent="0.4">
      <c r="A10" s="143"/>
      <c r="B10" s="28" t="s">
        <v>311</v>
      </c>
      <c r="C10" s="28"/>
      <c r="D10" s="46">
        <v>220</v>
      </c>
      <c r="E10" s="46">
        <v>75</v>
      </c>
      <c r="F10" s="47">
        <f>ROUND(D10/E10,0)</f>
        <v>3</v>
      </c>
      <c r="G10" s="48" t="s">
        <v>312</v>
      </c>
    </row>
    <row r="11" spans="1:7" x14ac:dyDescent="0.35">
      <c r="F11" s="21"/>
    </row>
    <row r="12" spans="1:7" x14ac:dyDescent="0.35">
      <c r="F12" s="21"/>
    </row>
    <row r="13" spans="1:7" x14ac:dyDescent="0.35">
      <c r="A13" t="s">
        <v>313</v>
      </c>
      <c r="G13" t="s">
        <v>314</v>
      </c>
    </row>
  </sheetData>
  <mergeCells count="2">
    <mergeCell ref="A2:A5"/>
    <mergeCell ref="A7:A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6B82-B107-429A-9735-4B5447EE0719}">
  <dimension ref="A1:I37"/>
  <sheetViews>
    <sheetView zoomScale="90" zoomScaleNormal="90" workbookViewId="0">
      <selection activeCell="I5" sqref="I5"/>
    </sheetView>
  </sheetViews>
  <sheetFormatPr defaultRowHeight="14.5" x14ac:dyDescent="0.35"/>
  <cols>
    <col min="1" max="1" width="8.7265625" style="13"/>
    <col min="2" max="2" width="30.26953125" customWidth="1"/>
    <col min="3" max="3" width="22" bestFit="1" customWidth="1"/>
    <col min="4" max="4" width="5.81640625" bestFit="1" customWidth="1"/>
    <col min="5" max="5" width="26.453125" customWidth="1"/>
    <col min="6" max="6" width="10.54296875" style="13" customWidth="1"/>
    <col min="7" max="7" width="53.453125" customWidth="1"/>
    <col min="9" max="9" width="39.1796875" customWidth="1"/>
  </cols>
  <sheetData>
    <row r="1" spans="1:9" ht="29" x14ac:dyDescent="0.35">
      <c r="A1" s="67" t="s">
        <v>315</v>
      </c>
      <c r="B1" s="68" t="s">
        <v>316</v>
      </c>
      <c r="C1" s="68" t="s">
        <v>317</v>
      </c>
      <c r="D1" s="68" t="s">
        <v>318</v>
      </c>
      <c r="E1" s="68" t="s">
        <v>319</v>
      </c>
      <c r="F1" s="67" t="s">
        <v>320</v>
      </c>
      <c r="G1" s="68" t="s">
        <v>321</v>
      </c>
    </row>
    <row r="2" spans="1:9" x14ac:dyDescent="0.35">
      <c r="A2" s="66">
        <v>1</v>
      </c>
      <c r="B2" s="88" t="s">
        <v>322</v>
      </c>
      <c r="C2" s="64" t="s">
        <v>323</v>
      </c>
      <c r="D2" s="64" t="s">
        <v>324</v>
      </c>
      <c r="E2" s="64" t="s">
        <v>325</v>
      </c>
      <c r="F2" s="65">
        <v>45537</v>
      </c>
      <c r="G2" s="2" t="s">
        <v>326</v>
      </c>
    </row>
    <row r="3" spans="1:9" x14ac:dyDescent="0.35">
      <c r="A3" s="66">
        <v>2</v>
      </c>
      <c r="B3" s="88" t="s">
        <v>327</v>
      </c>
      <c r="C3" s="64" t="s">
        <v>328</v>
      </c>
      <c r="D3" s="64" t="s">
        <v>329</v>
      </c>
      <c r="E3" s="64" t="s">
        <v>330</v>
      </c>
      <c r="F3" s="65">
        <v>45520</v>
      </c>
      <c r="G3" s="2" t="s">
        <v>326</v>
      </c>
    </row>
    <row r="4" spans="1:9" x14ac:dyDescent="0.35">
      <c r="A4" s="66">
        <v>3</v>
      </c>
      <c r="B4" s="88" t="s">
        <v>331</v>
      </c>
      <c r="C4" s="64" t="s">
        <v>332</v>
      </c>
      <c r="D4" s="64" t="s">
        <v>333</v>
      </c>
      <c r="E4" s="64" t="s">
        <v>334</v>
      </c>
      <c r="F4" s="65">
        <v>45523</v>
      </c>
      <c r="G4" s="64" t="s">
        <v>335</v>
      </c>
    </row>
    <row r="5" spans="1:9" x14ac:dyDescent="0.35">
      <c r="A5" s="66">
        <v>4</v>
      </c>
      <c r="B5" s="88" t="s">
        <v>336</v>
      </c>
      <c r="C5" s="64" t="s">
        <v>337</v>
      </c>
      <c r="D5" s="64" t="s">
        <v>338</v>
      </c>
      <c r="E5" s="64" t="s">
        <v>334</v>
      </c>
      <c r="F5" s="65">
        <v>45523</v>
      </c>
      <c r="G5" s="64" t="s">
        <v>335</v>
      </c>
    </row>
    <row r="6" spans="1:9" s="69" customFormat="1" x14ac:dyDescent="0.35">
      <c r="A6" s="66">
        <v>5</v>
      </c>
      <c r="B6" s="88" t="s">
        <v>339</v>
      </c>
      <c r="C6" s="64" t="s">
        <v>337</v>
      </c>
      <c r="D6" s="64" t="s">
        <v>338</v>
      </c>
      <c r="E6" s="64" t="s">
        <v>334</v>
      </c>
      <c r="F6" s="92">
        <v>45530</v>
      </c>
      <c r="G6" s="91" t="s">
        <v>335</v>
      </c>
    </row>
    <row r="7" spans="1:9" x14ac:dyDescent="0.35">
      <c r="A7" s="66">
        <v>6</v>
      </c>
      <c r="B7" s="88" t="s">
        <v>340</v>
      </c>
      <c r="C7" s="64" t="s">
        <v>337</v>
      </c>
      <c r="D7" s="64" t="s">
        <v>338</v>
      </c>
      <c r="E7" s="64" t="s">
        <v>334</v>
      </c>
      <c r="F7" s="65">
        <v>45551</v>
      </c>
      <c r="G7" s="64" t="s">
        <v>341</v>
      </c>
    </row>
    <row r="8" spans="1:9" ht="29" x14ac:dyDescent="0.35">
      <c r="A8" s="66">
        <v>7</v>
      </c>
      <c r="B8" s="96" t="s">
        <v>342</v>
      </c>
      <c r="C8" s="64" t="s">
        <v>343</v>
      </c>
      <c r="D8" s="64" t="s">
        <v>344</v>
      </c>
      <c r="E8" s="64" t="s">
        <v>334</v>
      </c>
      <c r="F8" s="65">
        <v>45627</v>
      </c>
      <c r="G8" s="64" t="s">
        <v>345</v>
      </c>
    </row>
    <row r="9" spans="1:9" x14ac:dyDescent="0.35">
      <c r="A9" s="66">
        <v>8</v>
      </c>
      <c r="B9" s="88" t="s">
        <v>346</v>
      </c>
      <c r="C9" s="64" t="s">
        <v>347</v>
      </c>
      <c r="D9" s="64" t="s">
        <v>348</v>
      </c>
      <c r="E9" s="64" t="s">
        <v>349</v>
      </c>
      <c r="F9" s="92">
        <v>45530</v>
      </c>
      <c r="G9" s="2"/>
    </row>
    <row r="10" spans="1:9" x14ac:dyDescent="0.35">
      <c r="A10" s="66">
        <v>9</v>
      </c>
      <c r="B10" s="88" t="s">
        <v>350</v>
      </c>
      <c r="C10" s="64" t="s">
        <v>337</v>
      </c>
      <c r="D10" s="64" t="s">
        <v>338</v>
      </c>
      <c r="E10" s="64" t="s">
        <v>349</v>
      </c>
      <c r="F10" s="65">
        <v>45566</v>
      </c>
      <c r="G10" s="64"/>
    </row>
    <row r="11" spans="1:9" x14ac:dyDescent="0.35">
      <c r="A11" s="66">
        <v>10</v>
      </c>
      <c r="B11" s="88" t="s">
        <v>351</v>
      </c>
      <c r="C11" s="64" t="s">
        <v>332</v>
      </c>
      <c r="D11" s="64" t="s">
        <v>333</v>
      </c>
      <c r="E11" s="64" t="s">
        <v>349</v>
      </c>
      <c r="F11" s="65">
        <v>45566</v>
      </c>
      <c r="G11" s="2"/>
    </row>
    <row r="12" spans="1:9" ht="29" x14ac:dyDescent="0.35">
      <c r="A12" s="66">
        <v>11</v>
      </c>
      <c r="B12" s="96" t="s">
        <v>342</v>
      </c>
      <c r="C12" s="64" t="s">
        <v>343</v>
      </c>
      <c r="D12" s="64" t="s">
        <v>344</v>
      </c>
      <c r="E12" s="64" t="s">
        <v>349</v>
      </c>
      <c r="F12" s="65">
        <v>45627</v>
      </c>
      <c r="G12" s="64" t="s">
        <v>345</v>
      </c>
      <c r="I12" s="91" t="s">
        <v>352</v>
      </c>
    </row>
    <row r="13" spans="1:9" x14ac:dyDescent="0.35">
      <c r="A13" s="66">
        <v>12</v>
      </c>
      <c r="B13" s="2" t="s">
        <v>353</v>
      </c>
      <c r="C13" s="64" t="s">
        <v>328</v>
      </c>
      <c r="D13" s="64" t="s">
        <v>329</v>
      </c>
      <c r="E13" s="64" t="s">
        <v>354</v>
      </c>
      <c r="F13" s="65">
        <v>45579</v>
      </c>
      <c r="G13" s="2"/>
      <c r="I13" s="91" t="s">
        <v>355</v>
      </c>
    </row>
    <row r="14" spans="1:9" x14ac:dyDescent="0.35">
      <c r="A14" s="66">
        <v>13</v>
      </c>
      <c r="B14" s="88" t="s">
        <v>352</v>
      </c>
      <c r="C14" s="64" t="s">
        <v>337</v>
      </c>
      <c r="D14" s="64" t="s">
        <v>338</v>
      </c>
      <c r="E14" s="64" t="s">
        <v>356</v>
      </c>
      <c r="F14" s="65">
        <v>45523</v>
      </c>
      <c r="G14" s="2" t="s">
        <v>326</v>
      </c>
      <c r="I14" s="91" t="s">
        <v>357</v>
      </c>
    </row>
    <row r="15" spans="1:9" x14ac:dyDescent="0.35">
      <c r="A15" s="66">
        <v>14</v>
      </c>
      <c r="B15" s="88" t="s">
        <v>355</v>
      </c>
      <c r="C15" s="64" t="s">
        <v>358</v>
      </c>
      <c r="D15" s="64" t="s">
        <v>344</v>
      </c>
      <c r="E15" s="64" t="s">
        <v>356</v>
      </c>
      <c r="F15" s="65">
        <v>45516</v>
      </c>
      <c r="G15" s="64" t="s">
        <v>359</v>
      </c>
      <c r="I15" s="91" t="s">
        <v>360</v>
      </c>
    </row>
    <row r="16" spans="1:9" x14ac:dyDescent="0.35">
      <c r="A16" s="66">
        <v>15</v>
      </c>
      <c r="B16" s="88" t="s">
        <v>357</v>
      </c>
      <c r="C16" s="64" t="s">
        <v>347</v>
      </c>
      <c r="D16" s="64" t="s">
        <v>348</v>
      </c>
      <c r="E16" s="64" t="s">
        <v>356</v>
      </c>
      <c r="F16" s="65">
        <v>45551</v>
      </c>
      <c r="G16" s="2"/>
      <c r="I16" s="91" t="s">
        <v>361</v>
      </c>
    </row>
    <row r="17" spans="1:9" x14ac:dyDescent="0.35">
      <c r="A17" s="66">
        <v>16</v>
      </c>
      <c r="B17" s="88" t="s">
        <v>360</v>
      </c>
      <c r="C17" s="91" t="s">
        <v>337</v>
      </c>
      <c r="D17" s="91" t="s">
        <v>338</v>
      </c>
      <c r="E17" s="91" t="s">
        <v>356</v>
      </c>
      <c r="F17" s="92">
        <v>45566</v>
      </c>
      <c r="G17" s="91" t="s">
        <v>362</v>
      </c>
      <c r="I17" s="91" t="s">
        <v>363</v>
      </c>
    </row>
    <row r="18" spans="1:9" x14ac:dyDescent="0.35">
      <c r="A18" s="66">
        <v>17</v>
      </c>
      <c r="B18" s="88" t="s">
        <v>361</v>
      </c>
      <c r="C18" s="91" t="s">
        <v>332</v>
      </c>
      <c r="D18" s="91" t="s">
        <v>333</v>
      </c>
      <c r="E18" s="91" t="s">
        <v>356</v>
      </c>
      <c r="F18" s="92">
        <v>45566</v>
      </c>
      <c r="G18" s="91" t="s">
        <v>362</v>
      </c>
      <c r="I18" s="91" t="s">
        <v>364</v>
      </c>
    </row>
    <row r="19" spans="1:9" x14ac:dyDescent="0.35">
      <c r="A19" s="66">
        <v>18</v>
      </c>
      <c r="B19" s="88" t="s">
        <v>363</v>
      </c>
      <c r="C19" s="91" t="s">
        <v>337</v>
      </c>
      <c r="D19" s="91" t="s">
        <v>338</v>
      </c>
      <c r="E19" s="91" t="s">
        <v>356</v>
      </c>
      <c r="F19" s="92">
        <v>45566</v>
      </c>
      <c r="G19" s="91" t="s">
        <v>365</v>
      </c>
      <c r="I19" t="s">
        <v>366</v>
      </c>
    </row>
    <row r="20" spans="1:9" x14ac:dyDescent="0.35">
      <c r="A20" s="66">
        <v>19</v>
      </c>
      <c r="B20" s="88" t="s">
        <v>364</v>
      </c>
      <c r="C20" s="91" t="s">
        <v>332</v>
      </c>
      <c r="D20" s="91" t="s">
        <v>333</v>
      </c>
      <c r="E20" s="91" t="s">
        <v>367</v>
      </c>
      <c r="F20" s="92">
        <v>45530</v>
      </c>
      <c r="G20" s="91"/>
      <c r="I20" t="s">
        <v>368</v>
      </c>
    </row>
    <row r="21" spans="1:9" x14ac:dyDescent="0.35">
      <c r="A21" s="66">
        <v>20</v>
      </c>
      <c r="B21" s="101" t="s">
        <v>366</v>
      </c>
      <c r="C21" s="64" t="s">
        <v>369</v>
      </c>
      <c r="D21" s="91" t="s">
        <v>370</v>
      </c>
      <c r="E21" s="91" t="s">
        <v>367</v>
      </c>
      <c r="F21" s="92">
        <v>45530</v>
      </c>
      <c r="G21" s="91"/>
      <c r="I21" s="91" t="s">
        <v>371</v>
      </c>
    </row>
    <row r="22" spans="1:9" x14ac:dyDescent="0.35">
      <c r="A22" s="66">
        <v>21</v>
      </c>
      <c r="B22" s="101" t="s">
        <v>368</v>
      </c>
      <c r="C22" s="91" t="s">
        <v>332</v>
      </c>
      <c r="D22" s="91" t="s">
        <v>333</v>
      </c>
      <c r="E22" s="91" t="s">
        <v>367</v>
      </c>
      <c r="F22" s="92">
        <v>45530</v>
      </c>
      <c r="G22" s="91"/>
    </row>
    <row r="23" spans="1:9" x14ac:dyDescent="0.35">
      <c r="A23" s="66">
        <v>22</v>
      </c>
      <c r="B23" s="88" t="s">
        <v>371</v>
      </c>
      <c r="C23" s="91" t="s">
        <v>332</v>
      </c>
      <c r="D23" s="91" t="s">
        <v>333</v>
      </c>
      <c r="E23" s="91" t="s">
        <v>367</v>
      </c>
      <c r="F23" s="92">
        <v>45566</v>
      </c>
      <c r="G23" s="91" t="s">
        <v>365</v>
      </c>
    </row>
    <row r="24" spans="1:9" x14ac:dyDescent="0.35">
      <c r="A24" s="66">
        <v>23</v>
      </c>
      <c r="B24" s="91" t="s">
        <v>372</v>
      </c>
      <c r="C24" s="97"/>
      <c r="D24" s="97"/>
      <c r="E24" s="91" t="s">
        <v>373</v>
      </c>
      <c r="F24" s="38"/>
      <c r="G24" s="2"/>
    </row>
    <row r="25" spans="1:9" x14ac:dyDescent="0.35">
      <c r="A25" s="66">
        <v>24</v>
      </c>
      <c r="B25" s="91" t="s">
        <v>372</v>
      </c>
      <c r="C25" s="97"/>
      <c r="D25" s="97"/>
      <c r="E25" s="91" t="s">
        <v>373</v>
      </c>
      <c r="F25" s="38"/>
      <c r="G25" s="2"/>
    </row>
    <row r="26" spans="1:9" x14ac:dyDescent="0.35">
      <c r="A26" s="66">
        <v>25</v>
      </c>
      <c r="B26" s="91" t="s">
        <v>372</v>
      </c>
      <c r="C26" s="97"/>
      <c r="D26" s="97"/>
      <c r="E26" s="91" t="s">
        <v>373</v>
      </c>
      <c r="F26" s="38"/>
      <c r="G26" s="2"/>
    </row>
    <row r="29" spans="1:9" x14ac:dyDescent="0.35">
      <c r="B29" s="98" t="s">
        <v>374</v>
      </c>
    </row>
    <row r="30" spans="1:9" x14ac:dyDescent="0.35">
      <c r="B30" s="64" t="s">
        <v>375</v>
      </c>
    </row>
    <row r="31" spans="1:9" x14ac:dyDescent="0.35">
      <c r="B31" s="64" t="s">
        <v>376</v>
      </c>
    </row>
    <row r="32" spans="1:9" x14ac:dyDescent="0.35">
      <c r="B32" s="64" t="s">
        <v>377</v>
      </c>
    </row>
    <row r="36" spans="2:7" x14ac:dyDescent="0.35">
      <c r="B36" s="64" t="s">
        <v>378</v>
      </c>
      <c r="C36" s="64" t="s">
        <v>328</v>
      </c>
      <c r="D36" s="64" t="s">
        <v>329</v>
      </c>
      <c r="E36" s="64" t="s">
        <v>379</v>
      </c>
      <c r="F36" s="65">
        <v>45520</v>
      </c>
      <c r="G36" s="64" t="s">
        <v>380</v>
      </c>
    </row>
    <row r="37" spans="2:7" x14ac:dyDescent="0.35">
      <c r="B37" s="64" t="s">
        <v>381</v>
      </c>
      <c r="C37" s="64" t="s">
        <v>328</v>
      </c>
      <c r="D37" s="64" t="s">
        <v>329</v>
      </c>
      <c r="E37" s="64" t="s">
        <v>325</v>
      </c>
      <c r="F37" s="65">
        <v>45407</v>
      </c>
      <c r="G37" s="2" t="s">
        <v>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ACB-5265-4F5D-B97F-A4910BE978E2}">
  <dimension ref="A1:H10"/>
  <sheetViews>
    <sheetView workbookViewId="0">
      <selection activeCell="N5" sqref="N5"/>
    </sheetView>
  </sheetViews>
  <sheetFormatPr defaultRowHeight="14.5" x14ac:dyDescent="0.35"/>
  <cols>
    <col min="1" max="1" width="27.1796875" customWidth="1"/>
    <col min="7" max="7" width="14.7265625" bestFit="1" customWidth="1"/>
    <col min="8" max="8" width="13.81640625" customWidth="1"/>
  </cols>
  <sheetData>
    <row r="1" spans="1:8" x14ac:dyDescent="0.35">
      <c r="A1" s="22" t="s">
        <v>382</v>
      </c>
      <c r="B1" s="23" t="s">
        <v>383</v>
      </c>
      <c r="C1" s="23" t="s">
        <v>384</v>
      </c>
      <c r="D1" s="23" t="s">
        <v>385</v>
      </c>
      <c r="E1" s="23" t="s">
        <v>386</v>
      </c>
      <c r="F1" s="23" t="s">
        <v>387</v>
      </c>
      <c r="G1" s="23" t="s">
        <v>388</v>
      </c>
      <c r="H1" s="94" t="s">
        <v>389</v>
      </c>
    </row>
    <row r="2" spans="1:8" x14ac:dyDescent="0.35">
      <c r="A2" s="93" t="s">
        <v>390</v>
      </c>
      <c r="B2" s="24">
        <v>2</v>
      </c>
      <c r="C2" s="24">
        <v>2</v>
      </c>
      <c r="D2" s="24">
        <v>0</v>
      </c>
      <c r="E2" s="24">
        <v>2</v>
      </c>
      <c r="F2" s="24">
        <v>1</v>
      </c>
      <c r="G2" s="24">
        <v>7</v>
      </c>
      <c r="H2" s="95">
        <v>0.7</v>
      </c>
    </row>
    <row r="3" spans="1:8" x14ac:dyDescent="0.35">
      <c r="A3" s="91" t="s">
        <v>391</v>
      </c>
      <c r="B3" s="24">
        <v>0</v>
      </c>
      <c r="C3" s="24">
        <v>2</v>
      </c>
      <c r="D3" s="24">
        <v>1</v>
      </c>
      <c r="E3" s="24">
        <v>0</v>
      </c>
      <c r="F3" s="24">
        <v>2</v>
      </c>
      <c r="G3" s="24">
        <v>5</v>
      </c>
      <c r="H3" s="95">
        <v>0.5</v>
      </c>
    </row>
    <row r="4" spans="1:8" x14ac:dyDescent="0.35">
      <c r="A4" s="91" t="s">
        <v>392</v>
      </c>
      <c r="B4" s="24">
        <v>2</v>
      </c>
      <c r="C4" s="24">
        <v>0</v>
      </c>
      <c r="D4" s="24">
        <v>2</v>
      </c>
      <c r="E4" s="24">
        <v>0</v>
      </c>
      <c r="F4" s="24">
        <v>2</v>
      </c>
      <c r="G4" s="24">
        <v>6</v>
      </c>
      <c r="H4" s="95">
        <v>0.6</v>
      </c>
    </row>
    <row r="5" spans="1:8" x14ac:dyDescent="0.35">
      <c r="A5" s="91" t="s">
        <v>355</v>
      </c>
      <c r="B5" s="24">
        <v>2</v>
      </c>
      <c r="C5" s="24">
        <v>1</v>
      </c>
      <c r="D5" s="24">
        <v>2</v>
      </c>
      <c r="E5" s="24">
        <v>1</v>
      </c>
      <c r="F5" s="24">
        <v>1</v>
      </c>
      <c r="G5" s="24">
        <v>7</v>
      </c>
      <c r="H5" s="95">
        <v>0.7</v>
      </c>
    </row>
    <row r="6" spans="1:8" x14ac:dyDescent="0.35">
      <c r="A6" s="91" t="s">
        <v>336</v>
      </c>
      <c r="B6" s="24">
        <v>2</v>
      </c>
      <c r="C6" s="24">
        <v>2</v>
      </c>
      <c r="D6" s="24">
        <v>1</v>
      </c>
      <c r="E6" s="24">
        <v>0</v>
      </c>
      <c r="F6" s="24">
        <v>2</v>
      </c>
      <c r="G6" s="24">
        <v>7</v>
      </c>
      <c r="H6" s="95">
        <v>0.7</v>
      </c>
    </row>
    <row r="7" spans="1:8" x14ac:dyDescent="0.35">
      <c r="A7" s="91" t="s">
        <v>346</v>
      </c>
      <c r="B7" s="24">
        <v>2</v>
      </c>
      <c r="C7" s="24">
        <v>2</v>
      </c>
      <c r="D7" s="24">
        <v>2</v>
      </c>
      <c r="E7" s="24">
        <v>0</v>
      </c>
      <c r="F7" s="24">
        <v>2</v>
      </c>
      <c r="G7" s="24">
        <v>8</v>
      </c>
      <c r="H7" s="95">
        <v>0.8</v>
      </c>
    </row>
    <row r="8" spans="1:8" x14ac:dyDescent="0.35">
      <c r="A8" s="91" t="s">
        <v>331</v>
      </c>
      <c r="B8" s="24">
        <v>2</v>
      </c>
      <c r="C8" s="24">
        <v>2</v>
      </c>
      <c r="D8" s="24">
        <v>1</v>
      </c>
      <c r="E8" s="24">
        <v>0</v>
      </c>
      <c r="F8" s="24">
        <v>2</v>
      </c>
      <c r="G8" s="24">
        <v>7</v>
      </c>
      <c r="H8" s="95">
        <v>0.7</v>
      </c>
    </row>
    <row r="9" spans="1:8" x14ac:dyDescent="0.35">
      <c r="A9" s="91" t="s">
        <v>352</v>
      </c>
      <c r="B9" s="24">
        <v>2</v>
      </c>
      <c r="C9" s="24">
        <v>1</v>
      </c>
      <c r="D9" s="24">
        <v>2</v>
      </c>
      <c r="E9" s="24">
        <v>2</v>
      </c>
      <c r="F9" s="24">
        <v>1</v>
      </c>
      <c r="G9" s="24">
        <v>8</v>
      </c>
      <c r="H9" s="95">
        <v>0.8</v>
      </c>
    </row>
    <row r="10" spans="1:8" x14ac:dyDescent="0.35">
      <c r="A10" s="91" t="s">
        <v>339</v>
      </c>
      <c r="B10" s="24"/>
      <c r="C10" s="24"/>
      <c r="D10" s="24"/>
      <c r="E10" s="24"/>
      <c r="F10" s="24"/>
      <c r="G10" s="24"/>
      <c r="H10" s="24"/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1783-FA22-4F52-A1B5-5592937CBC84}">
  <dimension ref="A1:C11"/>
  <sheetViews>
    <sheetView workbookViewId="0">
      <selection activeCell="G10" sqref="G10"/>
    </sheetView>
  </sheetViews>
  <sheetFormatPr defaultRowHeight="14.5" x14ac:dyDescent="0.35"/>
  <cols>
    <col min="1" max="1" width="5.1796875" style="13" bestFit="1" customWidth="1"/>
    <col min="2" max="2" width="71.81640625" bestFit="1" customWidth="1"/>
    <col min="3" max="3" width="10" bestFit="1" customWidth="1"/>
  </cols>
  <sheetData>
    <row r="1" spans="1:3" x14ac:dyDescent="0.35">
      <c r="A1" s="49" t="s">
        <v>393</v>
      </c>
      <c r="B1" s="22" t="s">
        <v>394</v>
      </c>
      <c r="C1" s="22" t="s">
        <v>395</v>
      </c>
    </row>
    <row r="2" spans="1:3" x14ac:dyDescent="0.35">
      <c r="A2" s="52">
        <v>1</v>
      </c>
      <c r="B2" s="53" t="s">
        <v>396</v>
      </c>
      <c r="C2" s="53" t="s">
        <v>397</v>
      </c>
    </row>
    <row r="3" spans="1:3" x14ac:dyDescent="0.35">
      <c r="A3" s="52">
        <v>2</v>
      </c>
      <c r="B3" s="53" t="s">
        <v>398</v>
      </c>
      <c r="C3" s="53" t="s">
        <v>397</v>
      </c>
    </row>
    <row r="4" spans="1:3" x14ac:dyDescent="0.35">
      <c r="A4" s="52">
        <v>3</v>
      </c>
      <c r="B4" s="53" t="s">
        <v>399</v>
      </c>
      <c r="C4" s="53" t="s">
        <v>397</v>
      </c>
    </row>
    <row r="5" spans="1:3" ht="32.5" customHeight="1" x14ac:dyDescent="0.35">
      <c r="A5" s="52">
        <v>4</v>
      </c>
      <c r="B5" s="90" t="s">
        <v>400</v>
      </c>
      <c r="C5" s="53" t="s">
        <v>397</v>
      </c>
    </row>
    <row r="6" spans="1:3" x14ac:dyDescent="0.35">
      <c r="A6" s="52">
        <v>5</v>
      </c>
      <c r="B6" s="53" t="s">
        <v>401</v>
      </c>
      <c r="C6" s="53" t="s">
        <v>397</v>
      </c>
    </row>
    <row r="7" spans="1:3" x14ac:dyDescent="0.35">
      <c r="A7" s="52">
        <v>6</v>
      </c>
      <c r="B7" s="53" t="s">
        <v>402</v>
      </c>
      <c r="C7" s="53" t="s">
        <v>397</v>
      </c>
    </row>
    <row r="8" spans="1:3" x14ac:dyDescent="0.35">
      <c r="A8" s="52">
        <v>7</v>
      </c>
      <c r="B8" s="53" t="s">
        <v>403</v>
      </c>
      <c r="C8" s="53" t="s">
        <v>397</v>
      </c>
    </row>
    <row r="9" spans="1:3" x14ac:dyDescent="0.35">
      <c r="A9" s="52">
        <v>8</v>
      </c>
      <c r="B9" s="53" t="s">
        <v>404</v>
      </c>
      <c r="C9" s="53" t="s">
        <v>397</v>
      </c>
    </row>
    <row r="10" spans="1:3" x14ac:dyDescent="0.35">
      <c r="A10" s="52">
        <v>9</v>
      </c>
      <c r="B10" s="53" t="s">
        <v>405</v>
      </c>
      <c r="C10" s="53" t="s">
        <v>397</v>
      </c>
    </row>
    <row r="11" spans="1:3" x14ac:dyDescent="0.35">
      <c r="A11" s="54">
        <v>10</v>
      </c>
      <c r="B11" s="55" t="s">
        <v>406</v>
      </c>
      <c r="C11" s="55" t="s">
        <v>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0B4B-631C-4953-8665-D3A5910AF328}">
  <dimension ref="A1:H19"/>
  <sheetViews>
    <sheetView zoomScale="80" zoomScaleNormal="80" workbookViewId="0">
      <selection activeCell="J10" sqref="J10"/>
    </sheetView>
  </sheetViews>
  <sheetFormatPr defaultRowHeight="14.5" x14ac:dyDescent="0.35"/>
  <cols>
    <col min="1" max="1" width="5.1796875" style="21" bestFit="1" customWidth="1"/>
    <col min="2" max="2" width="46.81640625" customWidth="1"/>
    <col min="3" max="3" width="16.81640625" style="21" customWidth="1"/>
    <col min="4" max="4" width="19.26953125" style="21" customWidth="1"/>
    <col min="5" max="5" width="10.453125" customWidth="1"/>
    <col min="6" max="6" width="22" customWidth="1"/>
    <col min="7" max="7" width="16.1796875" customWidth="1"/>
    <col min="8" max="8" width="42" customWidth="1"/>
    <col min="10" max="10" width="55.7265625" customWidth="1"/>
  </cols>
  <sheetData>
    <row r="1" spans="1:8" ht="15" thickBot="1" x14ac:dyDescent="0.4">
      <c r="A1" s="72" t="s">
        <v>315</v>
      </c>
      <c r="B1" s="73" t="s">
        <v>408</v>
      </c>
      <c r="C1" s="79" t="s">
        <v>409</v>
      </c>
      <c r="D1" s="79" t="s">
        <v>410</v>
      </c>
      <c r="E1" s="73" t="s">
        <v>395</v>
      </c>
      <c r="F1" s="73" t="s">
        <v>411</v>
      </c>
      <c r="G1" s="80" t="s">
        <v>412</v>
      </c>
      <c r="H1" s="74" t="s">
        <v>321</v>
      </c>
    </row>
    <row r="2" spans="1:8" ht="15" thickBot="1" x14ac:dyDescent="0.4">
      <c r="A2" s="59">
        <v>1</v>
      </c>
      <c r="B2" s="27" t="s">
        <v>413</v>
      </c>
      <c r="C2" s="81">
        <v>45518</v>
      </c>
      <c r="D2" s="82" t="s">
        <v>414</v>
      </c>
      <c r="E2" s="89" t="s">
        <v>397</v>
      </c>
      <c r="F2" s="27" t="s">
        <v>414</v>
      </c>
      <c r="G2" s="27" t="s">
        <v>414</v>
      </c>
      <c r="H2" s="44"/>
    </row>
    <row r="3" spans="1:8" ht="29.5" thickBot="1" x14ac:dyDescent="0.4">
      <c r="A3" s="60">
        <v>2</v>
      </c>
      <c r="B3" s="64" t="s">
        <v>415</v>
      </c>
      <c r="C3" s="86">
        <v>45520</v>
      </c>
      <c r="D3" s="86">
        <v>45524</v>
      </c>
      <c r="E3" s="89" t="s">
        <v>397</v>
      </c>
      <c r="F3" s="71" t="s">
        <v>414</v>
      </c>
      <c r="G3" s="3" t="s">
        <v>416</v>
      </c>
      <c r="H3" s="45"/>
    </row>
    <row r="4" spans="1:8" ht="29.5" thickBot="1" x14ac:dyDescent="0.4">
      <c r="A4" s="60">
        <v>3</v>
      </c>
      <c r="B4" s="71" t="s">
        <v>417</v>
      </c>
      <c r="C4" s="83" t="s">
        <v>418</v>
      </c>
      <c r="D4" s="83" t="s">
        <v>419</v>
      </c>
      <c r="E4" s="89" t="s">
        <v>397</v>
      </c>
      <c r="F4" s="71" t="s">
        <v>420</v>
      </c>
      <c r="G4" s="3" t="s">
        <v>416</v>
      </c>
      <c r="H4" s="45"/>
    </row>
    <row r="5" spans="1:8" ht="29.5" thickBot="1" x14ac:dyDescent="0.4">
      <c r="A5" s="60">
        <v>4</v>
      </c>
      <c r="B5" s="2" t="s">
        <v>421</v>
      </c>
      <c r="C5" s="84" t="s">
        <v>422</v>
      </c>
      <c r="D5" s="83" t="s">
        <v>422</v>
      </c>
      <c r="E5" s="89" t="s">
        <v>397</v>
      </c>
      <c r="F5" s="71" t="s">
        <v>423</v>
      </c>
      <c r="G5" s="3" t="s">
        <v>416</v>
      </c>
      <c r="H5" s="45"/>
    </row>
    <row r="6" spans="1:8" ht="29.5" thickBot="1" x14ac:dyDescent="0.4">
      <c r="A6" s="60">
        <v>5</v>
      </c>
      <c r="B6" s="2" t="s">
        <v>424</v>
      </c>
      <c r="C6" s="86">
        <v>45526</v>
      </c>
      <c r="D6" s="86">
        <v>45527</v>
      </c>
      <c r="E6" s="89" t="s">
        <v>397</v>
      </c>
      <c r="F6" s="64" t="s">
        <v>425</v>
      </c>
      <c r="G6" s="3" t="s">
        <v>416</v>
      </c>
      <c r="H6" s="45"/>
    </row>
    <row r="7" spans="1:8" ht="29" x14ac:dyDescent="0.35">
      <c r="A7" s="60">
        <v>6</v>
      </c>
      <c r="B7" s="2" t="s">
        <v>426</v>
      </c>
      <c r="C7" s="86">
        <v>45530</v>
      </c>
      <c r="D7" s="86">
        <v>45530</v>
      </c>
      <c r="E7" s="89" t="s">
        <v>397</v>
      </c>
      <c r="F7" s="64" t="s">
        <v>420</v>
      </c>
      <c r="G7" s="3" t="s">
        <v>416</v>
      </c>
      <c r="H7" s="45"/>
    </row>
    <row r="8" spans="1:8" ht="29" x14ac:dyDescent="0.35">
      <c r="A8" s="60">
        <v>7</v>
      </c>
      <c r="B8" s="64" t="s">
        <v>427</v>
      </c>
      <c r="C8" s="86">
        <v>45530</v>
      </c>
      <c r="D8" s="86">
        <v>45560</v>
      </c>
      <c r="E8" s="71" t="s">
        <v>407</v>
      </c>
      <c r="F8" s="71" t="s">
        <v>423</v>
      </c>
      <c r="G8" s="3" t="s">
        <v>416</v>
      </c>
      <c r="H8" s="87" t="s">
        <v>428</v>
      </c>
    </row>
    <row r="9" spans="1:8" ht="29" x14ac:dyDescent="0.35">
      <c r="A9" s="60">
        <v>8</v>
      </c>
      <c r="B9" s="64" t="s">
        <v>429</v>
      </c>
      <c r="C9" s="86">
        <v>45530</v>
      </c>
      <c r="D9" s="86">
        <v>45560</v>
      </c>
      <c r="E9" s="71" t="s">
        <v>430</v>
      </c>
      <c r="F9" s="71" t="s">
        <v>423</v>
      </c>
      <c r="G9" s="3" t="s">
        <v>416</v>
      </c>
      <c r="H9" s="45"/>
    </row>
    <row r="10" spans="1:8" ht="29" x14ac:dyDescent="0.35">
      <c r="A10" s="60">
        <v>9</v>
      </c>
      <c r="B10" s="3" t="s">
        <v>431</v>
      </c>
      <c r="C10" s="86">
        <v>45530</v>
      </c>
      <c r="D10" s="86">
        <v>45560</v>
      </c>
      <c r="E10" s="71" t="s">
        <v>430</v>
      </c>
      <c r="F10" s="71" t="s">
        <v>423</v>
      </c>
      <c r="G10" s="3" t="s">
        <v>416</v>
      </c>
      <c r="H10" s="45"/>
    </row>
    <row r="11" spans="1:8" ht="29.5" thickBot="1" x14ac:dyDescent="0.4">
      <c r="A11" s="61">
        <v>10</v>
      </c>
      <c r="B11" s="75" t="s">
        <v>432</v>
      </c>
      <c r="C11" s="85"/>
      <c r="D11" s="85"/>
      <c r="E11" s="75" t="s">
        <v>430</v>
      </c>
      <c r="F11" s="75" t="s">
        <v>420</v>
      </c>
      <c r="G11" s="31" t="s">
        <v>416</v>
      </c>
      <c r="H11" s="48"/>
    </row>
    <row r="13" spans="1:8" x14ac:dyDescent="0.35">
      <c r="B13" s="144" t="s">
        <v>433</v>
      </c>
      <c r="C13" s="144"/>
      <c r="D13" s="144"/>
      <c r="E13" s="144"/>
      <c r="F13" s="144"/>
      <c r="G13" s="144"/>
      <c r="H13" s="144"/>
    </row>
    <row r="14" spans="1:8" x14ac:dyDescent="0.35">
      <c r="B14" s="144" t="s">
        <v>434</v>
      </c>
      <c r="C14" s="144"/>
      <c r="D14" s="144"/>
      <c r="E14" s="144"/>
      <c r="F14" s="144"/>
      <c r="G14" s="144"/>
      <c r="H14" s="144"/>
    </row>
    <row r="16" spans="1:8" ht="15" thickBot="1" x14ac:dyDescent="0.4"/>
    <row r="17" spans="2:2" ht="145" x14ac:dyDescent="0.35">
      <c r="B17" s="76" t="s">
        <v>435</v>
      </c>
    </row>
    <row r="18" spans="2:2" ht="87" x14ac:dyDescent="0.35">
      <c r="B18" s="77" t="s">
        <v>436</v>
      </c>
    </row>
    <row r="19" spans="2:2" ht="29.5" thickBot="1" x14ac:dyDescent="0.4">
      <c r="B19" s="78" t="s">
        <v>437</v>
      </c>
    </row>
  </sheetData>
  <mergeCells count="2">
    <mergeCell ref="B13:H13"/>
    <mergeCell ref="B14:H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4202-9216-4E13-9895-A3D57EB3F762}">
  <dimension ref="A1:C15"/>
  <sheetViews>
    <sheetView workbookViewId="0">
      <selection activeCell="G6" sqref="G6"/>
    </sheetView>
  </sheetViews>
  <sheetFormatPr defaultRowHeight="14.5" x14ac:dyDescent="0.35"/>
  <cols>
    <col min="2" max="2" width="51.26953125" customWidth="1"/>
    <col min="3" max="3" width="58.54296875" bestFit="1" customWidth="1"/>
  </cols>
  <sheetData>
    <row r="1" spans="1:3" ht="15" thickBot="1" x14ac:dyDescent="0.4">
      <c r="A1" s="56"/>
      <c r="B1" s="57" t="s">
        <v>9</v>
      </c>
      <c r="C1" s="58" t="s">
        <v>45</v>
      </c>
    </row>
    <row r="2" spans="1:3" ht="43.5" x14ac:dyDescent="0.35">
      <c r="A2" s="145" t="s">
        <v>298</v>
      </c>
      <c r="B2" s="32" t="s">
        <v>438</v>
      </c>
      <c r="C2" s="44" t="s">
        <v>178</v>
      </c>
    </row>
    <row r="3" spans="1:3" x14ac:dyDescent="0.35">
      <c r="A3" s="146"/>
      <c r="B3" s="2" t="s">
        <v>23</v>
      </c>
      <c r="C3" s="45" t="s">
        <v>183</v>
      </c>
    </row>
    <row r="4" spans="1:3" x14ac:dyDescent="0.35">
      <c r="A4" s="146"/>
      <c r="B4" s="2" t="s">
        <v>28</v>
      </c>
      <c r="C4" s="45" t="s">
        <v>196</v>
      </c>
    </row>
    <row r="5" spans="1:3" x14ac:dyDescent="0.35">
      <c r="A5" s="146"/>
      <c r="B5" s="2" t="s">
        <v>33</v>
      </c>
      <c r="C5" s="45" t="s">
        <v>220</v>
      </c>
    </row>
    <row r="6" spans="1:3" x14ac:dyDescent="0.35">
      <c r="A6" s="146"/>
      <c r="B6" s="2" t="s">
        <v>121</v>
      </c>
      <c r="C6" s="45" t="s">
        <v>222</v>
      </c>
    </row>
    <row r="7" spans="1:3" ht="15" thickBot="1" x14ac:dyDescent="0.4">
      <c r="A7" s="147"/>
      <c r="B7" s="28"/>
      <c r="C7" s="48" t="s">
        <v>229</v>
      </c>
    </row>
    <row r="8" spans="1:3" x14ac:dyDescent="0.35">
      <c r="A8" s="145" t="s">
        <v>300</v>
      </c>
      <c r="B8" s="27" t="s">
        <v>128</v>
      </c>
      <c r="C8" s="44" t="s">
        <v>231</v>
      </c>
    </row>
    <row r="9" spans="1:3" x14ac:dyDescent="0.35">
      <c r="A9" s="146"/>
      <c r="B9" s="2" t="s">
        <v>140</v>
      </c>
      <c r="C9" s="45" t="s">
        <v>254</v>
      </c>
    </row>
    <row r="10" spans="1:3" x14ac:dyDescent="0.35">
      <c r="A10" s="146"/>
      <c r="B10" s="2" t="s">
        <v>144</v>
      </c>
      <c r="C10" s="45" t="s">
        <v>256</v>
      </c>
    </row>
    <row r="11" spans="1:3" x14ac:dyDescent="0.35">
      <c r="A11" s="146"/>
      <c r="B11" s="2" t="s">
        <v>149</v>
      </c>
      <c r="C11" s="45" t="s">
        <v>265</v>
      </c>
    </row>
    <row r="12" spans="1:3" x14ac:dyDescent="0.35">
      <c r="A12" s="146"/>
      <c r="B12" s="2" t="s">
        <v>155</v>
      </c>
      <c r="C12" s="45" t="s">
        <v>267</v>
      </c>
    </row>
    <row r="13" spans="1:3" x14ac:dyDescent="0.35">
      <c r="A13" s="146"/>
      <c r="B13" s="2" t="s">
        <v>161</v>
      </c>
      <c r="C13" s="45" t="s">
        <v>269</v>
      </c>
    </row>
    <row r="14" spans="1:3" x14ac:dyDescent="0.35">
      <c r="A14" s="146"/>
      <c r="B14" s="2" t="s">
        <v>163</v>
      </c>
      <c r="C14" s="62" t="s">
        <v>280</v>
      </c>
    </row>
    <row r="15" spans="1:3" ht="15" thickBot="1" x14ac:dyDescent="0.4">
      <c r="A15" s="147"/>
      <c r="B15" s="28" t="s">
        <v>164</v>
      </c>
      <c r="C15" s="63" t="s">
        <v>283</v>
      </c>
    </row>
  </sheetData>
  <mergeCells count="2">
    <mergeCell ref="A2:A7"/>
    <mergeCell ref="A8:A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2C12-CF89-4581-B85A-4255F19AF3CE}">
  <dimension ref="A1:J18"/>
  <sheetViews>
    <sheetView tabSelected="1" workbookViewId="0">
      <pane ySplit="1" topLeftCell="A14" activePane="bottomLeft" state="frozen"/>
      <selection pane="bottomLeft" activeCell="F25" sqref="F25"/>
    </sheetView>
  </sheetViews>
  <sheetFormatPr defaultRowHeight="14.5" x14ac:dyDescent="0.35"/>
  <cols>
    <col min="2" max="2" width="10" bestFit="1" customWidth="1"/>
    <col min="4" max="4" width="15.54296875" bestFit="1" customWidth="1"/>
    <col min="5" max="5" width="16.453125" bestFit="1" customWidth="1"/>
    <col min="6" max="6" width="14.1796875" bestFit="1" customWidth="1"/>
    <col min="9" max="9" width="57.54296875" customWidth="1"/>
  </cols>
  <sheetData>
    <row r="1" spans="1:10" ht="15" thickBot="1" x14ac:dyDescent="0.4">
      <c r="A1" s="99" t="s">
        <v>293</v>
      </c>
      <c r="B1" s="102" t="s">
        <v>294</v>
      </c>
      <c r="C1" s="102" t="s">
        <v>439</v>
      </c>
      <c r="D1" s="102" t="s">
        <v>446</v>
      </c>
      <c r="E1" s="102" t="s">
        <v>440</v>
      </c>
      <c r="F1" s="102" t="s">
        <v>441</v>
      </c>
      <c r="G1" s="102" t="s">
        <v>442</v>
      </c>
      <c r="H1" s="102" t="s">
        <v>443</v>
      </c>
      <c r="I1" s="102" t="s">
        <v>444</v>
      </c>
    </row>
    <row r="2" spans="1:10" x14ac:dyDescent="0.35">
      <c r="A2" s="148" t="s">
        <v>9</v>
      </c>
      <c r="B2" s="106" t="s">
        <v>298</v>
      </c>
      <c r="C2" s="43">
        <v>7</v>
      </c>
      <c r="D2" s="43">
        <v>7</v>
      </c>
      <c r="E2" s="103">
        <v>7</v>
      </c>
      <c r="F2" s="43"/>
      <c r="G2" s="43"/>
      <c r="H2" s="43"/>
      <c r="I2" s="27"/>
      <c r="J2" s="104">
        <f>E2/C2</f>
        <v>1</v>
      </c>
    </row>
    <row r="3" spans="1:10" x14ac:dyDescent="0.35">
      <c r="A3" s="149"/>
      <c r="B3" s="107" t="s">
        <v>356</v>
      </c>
      <c r="C3" s="24">
        <v>10</v>
      </c>
      <c r="D3" s="24">
        <v>3</v>
      </c>
      <c r="E3" s="100">
        <v>10</v>
      </c>
      <c r="F3" s="24"/>
      <c r="G3" s="24"/>
      <c r="H3" s="24"/>
      <c r="I3" s="2"/>
      <c r="J3" s="105">
        <f>E3/C3</f>
        <v>1</v>
      </c>
    </row>
    <row r="4" spans="1:10" ht="15" thickBot="1" x14ac:dyDescent="0.4">
      <c r="A4" s="149"/>
      <c r="B4" s="108" t="s">
        <v>300</v>
      </c>
      <c r="C4" s="47">
        <v>9</v>
      </c>
      <c r="D4" s="47">
        <v>9</v>
      </c>
      <c r="E4" s="110">
        <v>9</v>
      </c>
      <c r="F4" s="47"/>
      <c r="G4" s="47"/>
      <c r="H4" s="47"/>
      <c r="I4" s="28"/>
      <c r="J4" s="111">
        <f>E4/C4</f>
        <v>1</v>
      </c>
    </row>
    <row r="5" spans="1:10" ht="15" thickBot="1" x14ac:dyDescent="0.4">
      <c r="A5" s="149"/>
      <c r="B5" s="151"/>
      <c r="C5" s="152"/>
      <c r="D5" s="152"/>
      <c r="E5" s="152"/>
      <c r="F5" s="152"/>
      <c r="G5" s="152"/>
      <c r="H5" s="152"/>
      <c r="I5" s="152"/>
      <c r="J5" s="153"/>
    </row>
    <row r="6" spans="1:10" ht="15" thickBot="1" x14ac:dyDescent="0.4">
      <c r="A6" s="150"/>
      <c r="B6" s="112" t="s">
        <v>445</v>
      </c>
      <c r="C6" s="113">
        <f>SUM(C2:C4)</f>
        <v>26</v>
      </c>
      <c r="D6" s="113">
        <f t="shared" ref="D6" si="0">SUM(D2:D4)</f>
        <v>19</v>
      </c>
      <c r="E6" s="113">
        <f t="shared" ref="E6:H6" si="1">SUM(E2:E4)</f>
        <v>26</v>
      </c>
      <c r="F6" s="113">
        <f t="shared" si="1"/>
        <v>0</v>
      </c>
      <c r="G6" s="113">
        <f t="shared" si="1"/>
        <v>0</v>
      </c>
      <c r="H6" s="113">
        <f t="shared" si="1"/>
        <v>0</v>
      </c>
      <c r="I6" s="114"/>
      <c r="J6" s="115">
        <f>E6/C6</f>
        <v>1</v>
      </c>
    </row>
    <row r="7" spans="1:10" ht="15" thickBot="1" x14ac:dyDescent="0.4"/>
    <row r="8" spans="1:10" ht="15" thickBot="1" x14ac:dyDescent="0.4">
      <c r="A8" s="148" t="s">
        <v>45</v>
      </c>
      <c r="B8" s="106" t="s">
        <v>298</v>
      </c>
      <c r="C8" s="43">
        <v>9</v>
      </c>
      <c r="D8" s="103">
        <v>8</v>
      </c>
      <c r="E8" s="43">
        <v>8</v>
      </c>
      <c r="F8" s="43"/>
      <c r="G8" s="43">
        <v>1</v>
      </c>
      <c r="H8" s="43"/>
      <c r="I8" s="27" t="s">
        <v>447</v>
      </c>
      <c r="J8" s="104">
        <f>E8/C8</f>
        <v>0.88888888888888884</v>
      </c>
    </row>
    <row r="9" spans="1:10" ht="15" thickBot="1" x14ac:dyDescent="0.4">
      <c r="A9" s="149"/>
      <c r="B9" s="107" t="s">
        <v>356</v>
      </c>
      <c r="C9" s="24">
        <v>18</v>
      </c>
      <c r="D9" s="24"/>
      <c r="E9" s="24">
        <v>15</v>
      </c>
      <c r="F9" s="24"/>
      <c r="G9" s="24">
        <v>3</v>
      </c>
      <c r="H9" s="24"/>
      <c r="I9" s="2"/>
      <c r="J9" s="104">
        <f>E9/C9</f>
        <v>0.83333333333333337</v>
      </c>
    </row>
    <row r="10" spans="1:10" ht="15" thickBot="1" x14ac:dyDescent="0.4">
      <c r="A10" s="149"/>
      <c r="B10" s="108" t="s">
        <v>300</v>
      </c>
      <c r="C10" s="47">
        <v>7</v>
      </c>
      <c r="D10" s="47">
        <v>6</v>
      </c>
      <c r="E10" s="47">
        <v>6</v>
      </c>
      <c r="F10" s="47"/>
      <c r="G10" s="47">
        <v>1</v>
      </c>
      <c r="H10" s="47"/>
      <c r="I10" s="28"/>
      <c r="J10" s="116">
        <f>E10/C10</f>
        <v>0.8571428571428571</v>
      </c>
    </row>
    <row r="11" spans="1:10" ht="15" thickBot="1" x14ac:dyDescent="0.4">
      <c r="A11" s="149"/>
      <c r="B11" s="151"/>
      <c r="C11" s="152"/>
      <c r="D11" s="152"/>
      <c r="E11" s="152"/>
      <c r="F11" s="152"/>
      <c r="G11" s="152"/>
      <c r="H11" s="152"/>
      <c r="I11" s="152"/>
      <c r="J11" s="153"/>
    </row>
    <row r="12" spans="1:10" ht="15" thickBot="1" x14ac:dyDescent="0.4">
      <c r="A12" s="150"/>
      <c r="B12" s="112" t="s">
        <v>445</v>
      </c>
      <c r="C12" s="113">
        <f>SUM(C8:C10)</f>
        <v>34</v>
      </c>
      <c r="D12" s="113">
        <f t="shared" ref="D12:H12" si="2">SUM(D8:D10)</f>
        <v>14</v>
      </c>
      <c r="E12" s="113">
        <f t="shared" si="2"/>
        <v>29</v>
      </c>
      <c r="F12" s="113">
        <f t="shared" si="2"/>
        <v>0</v>
      </c>
      <c r="G12" s="113">
        <f t="shared" si="2"/>
        <v>5</v>
      </c>
      <c r="H12" s="113">
        <f t="shared" si="2"/>
        <v>0</v>
      </c>
      <c r="I12" s="117"/>
      <c r="J12" s="109">
        <f>E12/C12</f>
        <v>0.8529411764705882</v>
      </c>
    </row>
    <row r="13" spans="1:10" ht="15" thickBot="1" x14ac:dyDescent="0.4"/>
    <row r="14" spans="1:10" ht="15" thickBot="1" x14ac:dyDescent="0.4">
      <c r="A14" s="148" t="s">
        <v>448</v>
      </c>
      <c r="B14" s="106" t="s">
        <v>298</v>
      </c>
      <c r="C14" s="43">
        <v>33</v>
      </c>
      <c r="D14" s="43"/>
      <c r="E14" s="43"/>
      <c r="F14" s="43"/>
      <c r="G14" s="43"/>
      <c r="H14" s="43"/>
      <c r="I14" s="27"/>
      <c r="J14" s="104">
        <f>E14/C14</f>
        <v>0</v>
      </c>
    </row>
    <row r="15" spans="1:10" ht="15" thickBot="1" x14ac:dyDescent="0.4">
      <c r="A15" s="149"/>
      <c r="B15" s="107" t="s">
        <v>356</v>
      </c>
      <c r="C15" s="24">
        <v>8</v>
      </c>
      <c r="D15" s="24"/>
      <c r="E15" s="24"/>
      <c r="F15" s="24"/>
      <c r="G15" s="24"/>
      <c r="H15" s="24"/>
      <c r="I15" s="2"/>
      <c r="J15" s="104">
        <f>E15/C15</f>
        <v>0</v>
      </c>
    </row>
    <row r="16" spans="1:10" ht="15" thickBot="1" x14ac:dyDescent="0.4">
      <c r="A16" s="149"/>
      <c r="B16" s="108" t="s">
        <v>300</v>
      </c>
      <c r="C16" s="47">
        <v>11</v>
      </c>
      <c r="D16" s="47"/>
      <c r="E16" s="47"/>
      <c r="F16" s="47"/>
      <c r="G16" s="47"/>
      <c r="H16" s="47"/>
      <c r="I16" s="28"/>
      <c r="J16" s="116">
        <f>E16/C16</f>
        <v>0</v>
      </c>
    </row>
    <row r="17" spans="1:10" ht="15" thickBot="1" x14ac:dyDescent="0.4">
      <c r="A17" s="149"/>
      <c r="B17" s="151"/>
      <c r="C17" s="152"/>
      <c r="D17" s="152"/>
      <c r="E17" s="152"/>
      <c r="F17" s="152"/>
      <c r="G17" s="152"/>
      <c r="H17" s="152"/>
      <c r="I17" s="152"/>
      <c r="J17" s="153"/>
    </row>
    <row r="18" spans="1:10" ht="15" thickBot="1" x14ac:dyDescent="0.4">
      <c r="A18" s="150"/>
      <c r="B18" s="112" t="s">
        <v>445</v>
      </c>
      <c r="C18" s="113">
        <f>SUM(C14:C16)</f>
        <v>52</v>
      </c>
      <c r="D18" s="113">
        <f t="shared" ref="D18:H18" si="3">SUM(D14:D16)</f>
        <v>0</v>
      </c>
      <c r="E18" s="113">
        <f t="shared" si="3"/>
        <v>0</v>
      </c>
      <c r="F18" s="113">
        <f t="shared" si="3"/>
        <v>0</v>
      </c>
      <c r="G18" s="113">
        <f t="shared" si="3"/>
        <v>0</v>
      </c>
      <c r="H18" s="113">
        <f t="shared" si="3"/>
        <v>0</v>
      </c>
      <c r="I18" s="117"/>
      <c r="J18" s="109">
        <f>E18/C18</f>
        <v>0</v>
      </c>
    </row>
  </sheetData>
  <mergeCells count="6">
    <mergeCell ref="A2:A6"/>
    <mergeCell ref="A8:A12"/>
    <mergeCell ref="B5:J5"/>
    <mergeCell ref="B11:J11"/>
    <mergeCell ref="A14:A18"/>
    <mergeCell ref="B17:J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DB1192-9363-4B86-A7F1-D2A4C5A409FC}">
  <ds:schemaRefs>
    <ds:schemaRef ds:uri="http://schemas.microsoft.com/office/2006/metadata/properties"/>
    <ds:schemaRef ds:uri="886d0db5-4d18-497d-97ce-51cb0d7fa060"/>
    <ds:schemaRef ds:uri="http://purl.org/dc/terms/"/>
    <ds:schemaRef ds:uri="e2f04ce6-5625-4773-b511-ff6e32fd78d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549D641-0D8C-462A-8545-31E9DF978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DF6CEB-6F73-49BA-9CE1-2D9109C1E95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Test Plan</vt:lpstr>
      <vt:lpstr>Sprint 1</vt:lpstr>
      <vt:lpstr>Sprint 2</vt:lpstr>
      <vt:lpstr>TC Count estimates</vt:lpstr>
      <vt:lpstr>Resource estimations</vt:lpstr>
      <vt:lpstr>Resource plan</vt:lpstr>
      <vt:lpstr>Score card</vt:lpstr>
      <vt:lpstr>Action items</vt:lpstr>
      <vt:lpstr>Playwright training&amp;script plan</vt:lpstr>
      <vt:lpstr>Sheet3</vt:lpstr>
      <vt:lpstr>Sprint level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Sivaramakrishnan, Narayanan</dc:creator>
  <cp:keywords/>
  <dc:description/>
  <cp:lastModifiedBy>Illinda, Sridhar</cp:lastModifiedBy>
  <cp:revision/>
  <dcterms:created xsi:type="dcterms:W3CDTF">2024-07-23T11:58:47Z</dcterms:created>
  <dcterms:modified xsi:type="dcterms:W3CDTF">2024-10-24T04:58:30Z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