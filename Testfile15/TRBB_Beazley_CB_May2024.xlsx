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PMO/"/>
    </mc:Choice>
  </mc:AlternateContent>
  <xr:revisionPtr revIDLastSave="0" documentId="8_{BFE344E9-BE07-4DB2-8582-B662F4384D10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Header" sheetId="1" state="hidden" r:id="rId1"/>
    <sheet name="Stats" sheetId="5" state="hidden" r:id="rId2"/>
    <sheet name="Summary" sheetId="8" state="hidden" r:id="rId3"/>
    <sheet name="Temp1" sheetId="14" r:id="rId4"/>
    <sheet name="Certification Status" sheetId="7" state="hidden" r:id="rId5"/>
    <sheet name="Temp" sheetId="9" state="hidden" r:id="rId6"/>
    <sheet name="GW Certifications" sheetId="12" r:id="rId7"/>
    <sheet name="GWCTemp" sheetId="13" state="hidden" r:id="rId8"/>
    <sheet name="Team Beazley" sheetId="2" r:id="rId9"/>
    <sheet name="Team RSA" sheetId="4" r:id="rId10"/>
    <sheet name="Bitbucket" sheetId="3" state="hidden" r:id="rId11"/>
  </sheets>
  <definedNames>
    <definedName name="_xlnm._FilterDatabase" localSheetId="4" hidden="1">'Certification Status'!$A$2:$O$29</definedName>
    <definedName name="_xlnm._FilterDatabase" localSheetId="6" hidden="1">'GW Certifications'!$A$1:$P$41</definedName>
    <definedName name="_xlnm._FilterDatabase" localSheetId="7" hidden="1">GWCTemp!$A$2:$P$41</definedName>
    <definedName name="_xlnm._FilterDatabase" localSheetId="9" hidden="1">'Team RSA'!$A$1:$K$30</definedName>
    <definedName name="_xlnm._FilterDatabase" localSheetId="5" hidden="1">Temp!$A$2:$N$41</definedName>
  </definedNames>
  <calcPr calcId="191028"/>
  <pivotCaches>
    <pivotCache cacheId="546" r:id="rId12"/>
    <pivotCache cacheId="54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BNX+/+6irP940vNNoyG3p7gP3J9zHsQY+nw3Ft/yFBk="/>
    </ext>
  </extLst>
</workbook>
</file>

<file path=xl/calcChain.xml><?xml version="1.0" encoding="utf-8"?>
<calcChain xmlns="http://schemas.openxmlformats.org/spreadsheetml/2006/main">
  <c r="H28" i="14" l="1"/>
  <c r="F28" i="14"/>
  <c r="D28" i="14"/>
  <c r="F19" i="14"/>
  <c r="D19" i="14"/>
  <c r="H10" i="14"/>
  <c r="H24" i="14"/>
  <c r="H25" i="14"/>
  <c r="H26" i="14"/>
  <c r="H27" i="14"/>
  <c r="H23" i="14"/>
  <c r="H15" i="14"/>
  <c r="H16" i="14"/>
  <c r="I16" i="14" s="1"/>
  <c r="H17" i="14"/>
  <c r="H19" i="14" s="1"/>
  <c r="H18" i="14"/>
  <c r="H14" i="14"/>
  <c r="G27" i="14"/>
  <c r="G26" i="14"/>
  <c r="G25" i="14"/>
  <c r="G24" i="14"/>
  <c r="E27" i="14"/>
  <c r="E26" i="14"/>
  <c r="E25" i="14"/>
  <c r="E24" i="14"/>
  <c r="G18" i="14"/>
  <c r="G17" i="14"/>
  <c r="G16" i="14"/>
  <c r="G15" i="14"/>
  <c r="E18" i="14"/>
  <c r="E17" i="14"/>
  <c r="E16" i="14"/>
  <c r="E15" i="14"/>
  <c r="I9" i="14"/>
  <c r="I8" i="14"/>
  <c r="I7" i="14"/>
  <c r="I6" i="14"/>
  <c r="D6" i="14"/>
  <c r="D7" i="14"/>
  <c r="D8" i="14"/>
  <c r="D9" i="14"/>
  <c r="J9" i="14" s="1"/>
  <c r="D5" i="14"/>
  <c r="F6" i="14"/>
  <c r="F7" i="14"/>
  <c r="G7" i="14" s="1"/>
  <c r="F8" i="14"/>
  <c r="F10" i="14" s="1"/>
  <c r="F9" i="14"/>
  <c r="F5" i="14"/>
  <c r="X12" i="5"/>
  <c r="X13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8" i="5"/>
  <c r="U7" i="8"/>
  <c r="H7" i="8"/>
  <c r="AG7" i="8"/>
  <c r="AG8" i="8"/>
  <c r="U8" i="8"/>
  <c r="H8" i="8"/>
  <c r="E8" i="14" l="1"/>
  <c r="G6" i="14"/>
  <c r="I18" i="14"/>
  <c r="I15" i="14"/>
  <c r="I24" i="14"/>
  <c r="J5" i="14"/>
  <c r="K9" i="14" s="1"/>
  <c r="I25" i="14"/>
  <c r="J7" i="14"/>
  <c r="I17" i="14"/>
  <c r="G8" i="14"/>
  <c r="I27" i="14"/>
  <c r="G9" i="14"/>
  <c r="E7" i="14"/>
  <c r="I26" i="14"/>
  <c r="D10" i="14"/>
  <c r="E9" i="14"/>
  <c r="J8" i="14"/>
  <c r="E6" i="14"/>
  <c r="J6" i="14"/>
  <c r="K6" i="14" l="1"/>
  <c r="K7" i="14"/>
  <c r="J10" i="14"/>
  <c r="K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Kanduru, Raghava</author>
  </authors>
  <commentList>
    <comment ref="J1" authorId="0" shapeId="0" xr:uid="{CD6EB0E9-74BB-40EC-94B6-B9639CB7D30D}">
      <text>
        <r>
          <rPr>
            <b/>
            <sz val="9"/>
            <color indexed="81"/>
            <rFont val="Tahoma"/>
            <family val="2"/>
          </rPr>
          <t xml:space="preserve">Any </t>
        </r>
        <r>
          <rPr>
            <b/>
            <u/>
            <sz val="9"/>
            <color indexed="81"/>
            <rFont val="Tahoma"/>
            <family val="2"/>
          </rPr>
          <t>ONE</t>
        </r>
        <r>
          <rPr>
            <b/>
            <sz val="9"/>
            <color indexed="81"/>
            <rFont val="Tahoma"/>
            <family val="2"/>
          </rPr>
          <t xml:space="preserve"> mandatory to be completed as a INT developer
All </t>
        </r>
        <r>
          <rPr>
            <b/>
            <u/>
            <sz val="9"/>
            <color indexed="81"/>
            <rFont val="Tahoma"/>
            <family val="2"/>
          </rPr>
          <t>FOUR</t>
        </r>
        <r>
          <rPr>
            <b/>
            <sz val="9"/>
            <color indexed="81"/>
            <rFont val="Tahoma"/>
            <family val="2"/>
          </rPr>
          <t xml:space="preserve"> mandatory for Integration Lead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0" shapeId="0" xr:uid="{22226831-A603-48CF-9AED-77DFA44E8B6D}">
      <text>
        <r>
          <rPr>
            <b/>
            <sz val="9"/>
            <color indexed="81"/>
            <rFont val="Tahoma"/>
            <charset val="1"/>
          </rPr>
          <t>Guidewire Credential - InsuranceSuite REST API Client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" authorId="0" shapeId="0" xr:uid="{64B0E816-7C58-409A-9B29-ED7C697A8938}">
      <text>
        <r>
          <rPr>
            <b/>
            <sz val="9"/>
            <color indexed="81"/>
            <rFont val="Tahoma"/>
            <charset val="1"/>
          </rPr>
          <t>Guidewire Credential - InsuranceSuite Cloud API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D0C695F0-C813-4B05-A074-9BD9E9742497}">
      <text>
        <r>
          <rPr>
            <b/>
            <sz val="9"/>
            <color indexed="81"/>
            <rFont val="Tahoma"/>
            <charset val="1"/>
          </rPr>
          <t>Guidewire Credential - InsuranceSuite App Events</t>
        </r>
      </text>
    </comment>
    <comment ref="M2" authorId="0" shapeId="0" xr:uid="{5D6D7574-E556-453F-8A95-8F8B6CD16FA8}">
      <text>
        <r>
          <rPr>
            <b/>
            <sz val="9"/>
            <color indexed="81"/>
            <rFont val="Tahoma"/>
            <charset val="1"/>
          </rPr>
          <t>Guidewire Credential - InsuranceSuite Integration Gateway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Kanduru, Raghava</author>
  </authors>
  <commentList>
    <comment ref="K1" authorId="0" shapeId="0" xr:uid="{5CEE6DA1-687A-4BC2-B80A-82F02B5AFD07}">
      <text>
        <r>
          <rPr>
            <b/>
            <sz val="9"/>
            <color indexed="81"/>
            <rFont val="Tahoma"/>
            <family val="2"/>
          </rPr>
          <t xml:space="preserve">Any </t>
        </r>
        <r>
          <rPr>
            <b/>
            <u/>
            <sz val="9"/>
            <color indexed="81"/>
            <rFont val="Tahoma"/>
            <family val="2"/>
          </rPr>
          <t>ONE</t>
        </r>
        <r>
          <rPr>
            <b/>
            <sz val="9"/>
            <color indexed="81"/>
            <rFont val="Tahoma"/>
            <family val="2"/>
          </rPr>
          <t xml:space="preserve"> mandatory to be completed as a INT developer
All </t>
        </r>
        <r>
          <rPr>
            <b/>
            <u/>
            <sz val="9"/>
            <color indexed="81"/>
            <rFont val="Tahoma"/>
            <family val="2"/>
          </rPr>
          <t>FOUR</t>
        </r>
        <r>
          <rPr>
            <b/>
            <sz val="9"/>
            <color indexed="81"/>
            <rFont val="Tahoma"/>
            <family val="2"/>
          </rPr>
          <t xml:space="preserve"> mandatory for Integration Lead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EF639782-2F4A-4308-B244-45DB9275E781}">
      <text>
        <r>
          <rPr>
            <b/>
            <sz val="9"/>
            <color indexed="81"/>
            <rFont val="Tahoma"/>
            <charset val="1"/>
          </rPr>
          <t>Guidewire Credential - InsuranceSuite REST API Client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96941F4F-B70D-419E-AE9C-E7CB2A8AAF02}">
      <text>
        <r>
          <rPr>
            <b/>
            <sz val="9"/>
            <color indexed="81"/>
            <rFont val="Tahoma"/>
            <charset val="1"/>
          </rPr>
          <t>Guidewire Credential - InsuranceSuite Cloud API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" authorId="0" shapeId="0" xr:uid="{9C343BCB-69D8-4319-88F4-661F34D7FD4E}">
      <text>
        <r>
          <rPr>
            <b/>
            <sz val="9"/>
            <color indexed="81"/>
            <rFont val="Tahoma"/>
            <charset val="1"/>
          </rPr>
          <t>Guidewire Credential - InsuranceSuite App Events</t>
        </r>
      </text>
    </comment>
    <comment ref="N2" authorId="0" shapeId="0" xr:uid="{B03EDC47-E6A0-4B2B-8BE7-3499254F5B13}">
      <text>
        <r>
          <rPr>
            <b/>
            <sz val="9"/>
            <color indexed="81"/>
            <rFont val="Tahoma"/>
            <charset val="1"/>
          </rPr>
          <t>Guidewire Credential - InsuranceSuite Integration Gateway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Kanduru, Raghava</author>
  </authors>
  <commentList>
    <comment ref="K1" authorId="0" shapeId="0" xr:uid="{00C7A2B2-5753-4A30-AEE3-704F4979155F}">
      <text>
        <r>
          <rPr>
            <b/>
            <sz val="9"/>
            <color indexed="81"/>
            <rFont val="Tahoma"/>
            <family val="2"/>
          </rPr>
          <t xml:space="preserve">Any </t>
        </r>
        <r>
          <rPr>
            <b/>
            <u/>
            <sz val="9"/>
            <color indexed="81"/>
            <rFont val="Tahoma"/>
            <family val="2"/>
          </rPr>
          <t>ONE</t>
        </r>
        <r>
          <rPr>
            <b/>
            <sz val="9"/>
            <color indexed="81"/>
            <rFont val="Tahoma"/>
            <family val="2"/>
          </rPr>
          <t xml:space="preserve"> mandatory to be completed as a INT developer
All </t>
        </r>
        <r>
          <rPr>
            <b/>
            <u/>
            <sz val="9"/>
            <color indexed="81"/>
            <rFont val="Tahoma"/>
            <family val="2"/>
          </rPr>
          <t>FOUR</t>
        </r>
        <r>
          <rPr>
            <b/>
            <sz val="9"/>
            <color indexed="81"/>
            <rFont val="Tahoma"/>
            <family val="2"/>
          </rPr>
          <t xml:space="preserve"> mandatory for Integration Lead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BDAEC2A8-92D9-4893-885D-0934EF18B518}">
      <text>
        <r>
          <rPr>
            <b/>
            <sz val="9"/>
            <color indexed="81"/>
            <rFont val="Tahoma"/>
            <charset val="1"/>
          </rPr>
          <t>Guidewire Credential - InsuranceSuite REST API Client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145D5A8E-ACBD-4FAD-8151-F3ED99DF5E0C}">
      <text>
        <r>
          <rPr>
            <b/>
            <sz val="9"/>
            <color indexed="81"/>
            <rFont val="Tahoma"/>
            <charset val="1"/>
          </rPr>
          <t>Guidewire Credential - InsuranceSuite Cloud API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" authorId="0" shapeId="0" xr:uid="{8E74CD0F-F49A-47F5-9C6D-71AB1B14A3EE}">
      <text>
        <r>
          <rPr>
            <b/>
            <sz val="9"/>
            <color indexed="81"/>
            <rFont val="Tahoma"/>
            <charset val="1"/>
          </rPr>
          <t>Guidewire Credential - InsuranceSuite App Events</t>
        </r>
      </text>
    </comment>
    <comment ref="N2" authorId="0" shapeId="0" xr:uid="{EE4A871B-70B2-49E4-8A9E-70F0EA44103D}">
      <text>
        <r>
          <rPr>
            <b/>
            <sz val="9"/>
            <color indexed="81"/>
            <rFont val="Tahoma"/>
            <charset val="1"/>
          </rPr>
          <t>Guidewire Credential - InsuranceSuite Integration Gateway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Kanduru, Raghava</author>
  </authors>
  <commentList>
    <comment ref="K1" authorId="0" shapeId="0" xr:uid="{93C136BF-B497-4EC9-B8BA-9B566A64A8AA}">
      <text>
        <r>
          <rPr>
            <b/>
            <sz val="9"/>
            <color indexed="81"/>
            <rFont val="Tahoma"/>
            <family val="2"/>
          </rPr>
          <t xml:space="preserve">Any </t>
        </r>
        <r>
          <rPr>
            <b/>
            <u/>
            <sz val="9"/>
            <color indexed="81"/>
            <rFont val="Tahoma"/>
            <family val="2"/>
          </rPr>
          <t>ONE</t>
        </r>
        <r>
          <rPr>
            <b/>
            <sz val="9"/>
            <color indexed="81"/>
            <rFont val="Tahoma"/>
            <family val="2"/>
          </rPr>
          <t xml:space="preserve"> mandatory to be completed as a INT developer
All </t>
        </r>
        <r>
          <rPr>
            <b/>
            <u/>
            <sz val="9"/>
            <color indexed="81"/>
            <rFont val="Tahoma"/>
            <family val="2"/>
          </rPr>
          <t>FOUR</t>
        </r>
        <r>
          <rPr>
            <b/>
            <sz val="9"/>
            <color indexed="81"/>
            <rFont val="Tahoma"/>
            <family val="2"/>
          </rPr>
          <t xml:space="preserve"> mandatory for Integration Lead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C4472FA2-DF07-420E-869F-BE2DEA69CC67}">
      <text>
        <r>
          <rPr>
            <b/>
            <sz val="9"/>
            <color indexed="81"/>
            <rFont val="Tahoma"/>
            <charset val="1"/>
          </rPr>
          <t>Guidewire Credential - InsuranceSuite REST API Client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7AC8B483-3368-44A1-8544-95FD2B6934DB}">
      <text>
        <r>
          <rPr>
            <b/>
            <sz val="9"/>
            <color indexed="81"/>
            <rFont val="Tahoma"/>
            <charset val="1"/>
          </rPr>
          <t>Guidewire Credential - InsuranceSuite Cloud API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" authorId="0" shapeId="0" xr:uid="{22360B62-572E-4394-8DE2-F5961A7DF8EB}">
      <text>
        <r>
          <rPr>
            <b/>
            <sz val="9"/>
            <color indexed="81"/>
            <rFont val="Tahoma"/>
            <charset val="1"/>
          </rPr>
          <t>Guidewire Credential - InsuranceSuite App Events</t>
        </r>
      </text>
    </comment>
    <comment ref="N2" authorId="0" shapeId="0" xr:uid="{22EFAC81-5EC4-48D0-9DD5-87AAE5565821}">
      <text>
        <r>
          <rPr>
            <b/>
            <sz val="9"/>
            <color indexed="81"/>
            <rFont val="Tahoma"/>
            <charset val="1"/>
          </rPr>
          <t>Guidewire Credential - InsuranceSuite Integration Gateway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<sst xmlns="http://schemas.openxmlformats.org/spreadsheetml/2006/main" count="1787" uniqueCount="271">
  <si>
    <t>Project Name</t>
  </si>
  <si>
    <t>FF Project ID</t>
  </si>
  <si>
    <t>Target Version</t>
  </si>
  <si>
    <t>Submitted By</t>
  </si>
  <si>
    <t xml:space="preserve">File Date and Time </t>
  </si>
  <si>
    <t>ProjectType</t>
  </si>
  <si>
    <t>ParticipantID</t>
  </si>
  <si>
    <t>Region</t>
  </si>
  <si>
    <t>Beazley</t>
  </si>
  <si>
    <t>Elysian</t>
  </si>
  <si>
    <t>Catherine Blades</t>
  </si>
  <si>
    <t>Cloud</t>
  </si>
  <si>
    <t>EMEA</t>
  </si>
  <si>
    <t>BZ Release Train Associates vs GW Certification stats</t>
  </si>
  <si>
    <t>Roles</t>
  </si>
  <si>
    <t>Compliance</t>
  </si>
  <si>
    <t>Natraj</t>
  </si>
  <si>
    <t>A</t>
  </si>
  <si>
    <t>BZ Stream</t>
  </si>
  <si>
    <t>Role</t>
  </si>
  <si>
    <t>Role Type</t>
  </si>
  <si>
    <t>Yes</t>
  </si>
  <si>
    <t>No</t>
  </si>
  <si>
    <t>Grand Total</t>
  </si>
  <si>
    <t>Raghava</t>
  </si>
  <si>
    <t>PolicyCenter</t>
  </si>
  <si>
    <t>Associate</t>
  </si>
  <si>
    <t>Murali</t>
  </si>
  <si>
    <t>BA</t>
  </si>
  <si>
    <t>Ramesh</t>
  </si>
  <si>
    <t>L</t>
  </si>
  <si>
    <t>BillingCenter</t>
  </si>
  <si>
    <t>Lead</t>
  </si>
  <si>
    <t>Integration</t>
  </si>
  <si>
    <t>Dev</t>
  </si>
  <si>
    <t>Digital</t>
  </si>
  <si>
    <t>Testing</t>
  </si>
  <si>
    <t>Migration</t>
  </si>
  <si>
    <t>QA</t>
  </si>
  <si>
    <t>Certification Stream</t>
  </si>
  <si>
    <t>(Multiple Items)</t>
  </si>
  <si>
    <t>PolicyCenter - Associate Stats</t>
  </si>
  <si>
    <t>PolicyCenter - ACE Stats</t>
  </si>
  <si>
    <t>BillingCenter - Associate Stats</t>
  </si>
  <si>
    <t>BillingCenter - ACE Stats</t>
  </si>
  <si>
    <t>Integration - Associate Stats</t>
  </si>
  <si>
    <t>Integration - ACE Stats</t>
  </si>
  <si>
    <t>Associate Cert</t>
  </si>
  <si>
    <t>ACE Cert</t>
  </si>
  <si>
    <t>Release Train/Summary</t>
  </si>
  <si>
    <t>HeadCount</t>
  </si>
  <si>
    <t>Certification Completed</t>
  </si>
  <si>
    <t>Associate Certification Completed</t>
  </si>
  <si>
    <t>ACE Certification Completed</t>
  </si>
  <si>
    <t>Yet to Certified</t>
  </si>
  <si>
    <t>ACE vs Associate percentage (Min &gt;= 25%)</t>
  </si>
  <si>
    <t>Associate Certification Complete</t>
  </si>
  <si>
    <t>Mandatory Certifications for INT team effective from Mar-2025</t>
  </si>
  <si>
    <t>SLNo</t>
  </si>
  <si>
    <t>Name</t>
  </si>
  <si>
    <t>Stream</t>
  </si>
  <si>
    <t>Specialist</t>
  </si>
  <si>
    <t>Professional</t>
  </si>
  <si>
    <t>ACE</t>
  </si>
  <si>
    <t>Certification-1</t>
  </si>
  <si>
    <t>Certification-2</t>
  </si>
  <si>
    <t>Certification-3</t>
  </si>
  <si>
    <t>Certification-4</t>
  </si>
  <si>
    <t>Certifications Titles</t>
  </si>
  <si>
    <t>Commensts</t>
  </si>
  <si>
    <t>Sriram Jagannathan</t>
  </si>
  <si>
    <t>Yes - PC
Yes - BC
Yes - CC</t>
  </si>
  <si>
    <t>Guidewire ACE PC Business Analyst - Jasper
Guidewire ACE BC Business Analyst - Jasper
Guidewire ACE CC Business Analyst - Jasper</t>
  </si>
  <si>
    <t>Sherezad Contractor</t>
  </si>
  <si>
    <t>Yes - PC</t>
  </si>
  <si>
    <t>Guidewire ACE PC - Jasper</t>
  </si>
  <si>
    <t>Prince Mathew</t>
  </si>
  <si>
    <t>Yes - PC
Yes - CC</t>
  </si>
  <si>
    <t>Guidewire ACE PC Business Analyst - Jasper
Guidewire ACE CC Business Analyst - Jasper</t>
  </si>
  <si>
    <t>Ramesh Goundu</t>
  </si>
  <si>
    <t>Guidewire ACE PC Configuration - Jasper</t>
  </si>
  <si>
    <t>Balaji KV</t>
  </si>
  <si>
    <t>Yes - CC</t>
  </si>
  <si>
    <t>Yes - PC
Yes - BC</t>
  </si>
  <si>
    <t>Professional PC Configuration - Jasper
Professional BC Configuration - Jasper
Specialist CC Configuration - Jasper</t>
  </si>
  <si>
    <t>Vamshi Chennamadhavuni</t>
  </si>
  <si>
    <t>Others</t>
  </si>
  <si>
    <t>Guidewire ACE PC Configuration - Jasper
Guidewire ACE BC Configuration - Jasper</t>
  </si>
  <si>
    <t>Sahersh Gupta</t>
  </si>
  <si>
    <t>Yes - INT</t>
  </si>
  <si>
    <t>Pending</t>
  </si>
  <si>
    <t>Specialist Integration Jasper</t>
  </si>
  <si>
    <t>Gourab Marik</t>
  </si>
  <si>
    <t>Guidewire ACE Integration - Jasper</t>
  </si>
  <si>
    <t>Muralidhara Rao Bandaru</t>
  </si>
  <si>
    <t>Vikas Tiwari</t>
  </si>
  <si>
    <t>Associate PC configuration - Jasper</t>
  </si>
  <si>
    <t>Kalyan Kharidu</t>
  </si>
  <si>
    <t>Yes - INS Suite</t>
  </si>
  <si>
    <t>Associate InsuranceSuite Developer - Jasper</t>
  </si>
  <si>
    <t>Pavan Kumar Kusumanchi</t>
  </si>
  <si>
    <t>Yet to complete certification</t>
  </si>
  <si>
    <t>Kamakshya Prasad Mishra</t>
  </si>
  <si>
    <t>Yes - PC
Yes - INT
Yes - Digital</t>
  </si>
  <si>
    <t>Guidewire ACE CC Configuration - Jasper
Associate Digital Configuration &amp; Integration - Jasper
Associate PC Configuration - Jasper</t>
  </si>
  <si>
    <t>Kiran Akula</t>
  </si>
  <si>
    <t>Associate InsuranceSuite Analyst</t>
  </si>
  <si>
    <t>Sridhar Illinda</t>
  </si>
  <si>
    <t>Srinivas Chandu</t>
  </si>
  <si>
    <t>Mannat Siddqiui</t>
  </si>
  <si>
    <t>Kanupriya Prajapati</t>
  </si>
  <si>
    <t>Surender Goud, Ganbite</t>
  </si>
  <si>
    <t>Rupesh Guttula</t>
  </si>
  <si>
    <t>Ravi Prakash Tiwari</t>
  </si>
  <si>
    <t>Stuart Jerome</t>
  </si>
  <si>
    <t>Wayne Grice</t>
  </si>
  <si>
    <t>Sudhindra Keshavanarayana</t>
  </si>
  <si>
    <t>Guidewire ACE ClaimCenter Business Analyst
Associate InsuranceSuite Analyst</t>
  </si>
  <si>
    <t>Swarnali Chakraborty</t>
  </si>
  <si>
    <t>Maciej Laszczky</t>
  </si>
  <si>
    <t>Yes - PC
Yes - INT</t>
  </si>
  <si>
    <t>Specialist PC Configuration &amp; Integration
Guidewire ACE CC Configuration</t>
  </si>
  <si>
    <t>Nagendra Valluripalli</t>
  </si>
  <si>
    <t>Specialist certification - ClaimCenter 10.0 configuration</t>
  </si>
  <si>
    <t>Professional (ACE)</t>
  </si>
  <si>
    <t>Guidewire ACE PC Business Analyst - Jasper</t>
  </si>
  <si>
    <t>Guidewire ACE BC Business Analyst - Jasper</t>
  </si>
  <si>
    <t>ClaimCenter</t>
  </si>
  <si>
    <t>Guidewire ACE CC Business Analyst - Jasper</t>
  </si>
  <si>
    <t>Insurance Suite</t>
  </si>
  <si>
    <t>Yet to complete</t>
  </si>
  <si>
    <t>Names</t>
  </si>
  <si>
    <t>Guidewire Credential - InsuranceSuite REST API Client</t>
  </si>
  <si>
    <t>Guidewire Credential - InsuranceSuite Cloud API</t>
  </si>
  <si>
    <t>Guidewire Credential - InsuranceSuite App Events</t>
  </si>
  <si>
    <t>Guidewire Credential - InsuranceSuite Integration Gateway</t>
  </si>
  <si>
    <t>Arctitect</t>
  </si>
  <si>
    <t>Guidewire ACE CC Configuration - Jasper
Guidewire ACE BC Configuration - Jasper</t>
  </si>
  <si>
    <t>Completed</t>
  </si>
  <si>
    <t xml:space="preserve">1 Guidewire ACE Integration - Kufri
2 Guidewire Credential - InsuranceSuite REST API Client - Innsbruck
3 Guidewire Credential - InsuranceSuite App Events - Innsbruck
</t>
  </si>
  <si>
    <t>Team Member</t>
  </si>
  <si>
    <t>Weight</t>
  </si>
  <si>
    <t>Email</t>
  </si>
  <si>
    <t>Alternate Email</t>
  </si>
  <si>
    <t>Track</t>
  </si>
  <si>
    <t>Associate Cert Target Certification Date</t>
  </si>
  <si>
    <t>Ace Cert Target Certification Date</t>
  </si>
  <si>
    <t>Cerification data</t>
  </si>
  <si>
    <t>Complaince</t>
  </si>
  <si>
    <t>sriram.a.jagannathan@capgemini.com</t>
  </si>
  <si>
    <t>sherezad.contractor@capgemini.com</t>
  </si>
  <si>
    <t>prince.mathew@capgemini.com</t>
  </si>
  <si>
    <t>ramesh.goundu@capgemini.com</t>
  </si>
  <si>
    <t>Rajesh Bandaru</t>
  </si>
  <si>
    <t>rajesh.bandaru@capgemini.com</t>
  </si>
  <si>
    <t>Guidewire ACE PC Configuration - Jasper
Guidewire ACE CC Configuration - Jasper</t>
  </si>
  <si>
    <t>balaji.kv@capgemini.com</t>
  </si>
  <si>
    <t>vamshi.chennamadhavuni@capgemini.com</t>
  </si>
  <si>
    <t>sahersh.gupta@capgemini.com</t>
  </si>
  <si>
    <t>Associate Integration Developer - Jasper</t>
  </si>
  <si>
    <t>gourab.marik@capgemini.com</t>
  </si>
  <si>
    <t>muralidhara-rao.bandaru@capgemini.com</t>
  </si>
  <si>
    <t>vikas.b.tiwari@capgemini.com</t>
  </si>
  <si>
    <t>Anupama Nalla</t>
  </si>
  <si>
    <t>satya-nalla.nalla@capgemini.com</t>
  </si>
  <si>
    <t>kharidu.kalyan@capgemini.com</t>
  </si>
  <si>
    <t>Sai Datta</t>
  </si>
  <si>
    <t>venkata-satya-datta-sai.vaddi@capgemini.com</t>
  </si>
  <si>
    <t>pavan-kumar.kusumanchi@capgemini.com</t>
  </si>
  <si>
    <t>kp.mishra@capgemini.com</t>
  </si>
  <si>
    <t>kiran.akula@capgemini.com</t>
  </si>
  <si>
    <t>Sridhar.illinda@capgemini.com</t>
  </si>
  <si>
    <t>Srinivas.chandu@capgemini.com</t>
  </si>
  <si>
    <t>mannat.a.siddiqui@capgemini.com</t>
  </si>
  <si>
    <t>kanupriya.a.prajapati@capgemini.com</t>
  </si>
  <si>
    <t xml:space="preserve"> ganbite.goud@capgemini.com</t>
  </si>
  <si>
    <t>TBC</t>
  </si>
  <si>
    <t xml:space="preserve">Cerification opted for </t>
  </si>
  <si>
    <t>siva sai vekanuru, Bhanu</t>
  </si>
  <si>
    <t>bhanu.siva-sai-vekanuru@capgemini.com</t>
  </si>
  <si>
    <t>InsuranceSuite 10.0  Fundamentals EXAM
Associate Certification - InsuranceSuite 10.0 Developer - Exam</t>
  </si>
  <si>
    <t>Srilatha Vallabudas</t>
  </si>
  <si>
    <t>srilatha.vallabudas@capgemini.com</t>
  </si>
  <si>
    <t xml:space="preserve">InsuranceSuite 10.0  Fundamentals 
Associate Certification - InsuranceSuite 10.0 Developer - </t>
  </si>
  <si>
    <t>Specialist Certification - ClaimCenter 10.0 - EXAM</t>
  </si>
  <si>
    <t>Kusumanchi Pavan kumar</t>
  </si>
  <si>
    <t>Associate Certification - InsuranceSuite 10.0 Developer - Exam</t>
  </si>
  <si>
    <t>Purushottam Gudem</t>
  </si>
  <si>
    <t>purushotham.gudem@capgemini.com</t>
  </si>
  <si>
    <t>Aiswarya Eragamreddy</t>
  </si>
  <si>
    <t>eragamreddy.aiswarya@capgemini.com</t>
  </si>
  <si>
    <t>InsuranceSuite 10.0  Fundamentals EXAM
Specialist Certification - ClaimCenter 10.0 - EXAM</t>
  </si>
  <si>
    <t>S V N Ajit Teja Pochanapeddi</t>
  </si>
  <si>
    <t>s-v-n-ajit-teja.pochanapeddi@capgemini.com</t>
  </si>
  <si>
    <t>Deekshitha Julluri</t>
  </si>
  <si>
    <t>deekshitha.julluri@capgemini.com</t>
  </si>
  <si>
    <t>InsuranceSuite 10.0  Fundamentals </t>
  </si>
  <si>
    <t>Sowmya Chirra</t>
  </si>
  <si>
    <t>chirra.sowmya@capgemini.com</t>
  </si>
  <si>
    <t>InsuranceSuite 10.0  Fundamentals EXAM</t>
  </si>
  <si>
    <t xml:space="preserve">Lakshmi Badam </t>
  </si>
  <si>
    <t>lakshmi.a.badam@capgemini.com</t>
  </si>
  <si>
    <t>InsuranceSuite 10.0  Fundamentals EXAM
Associate Certification - InsuranceSuite 10.0 Developer - Exam
Specialist Certification - ClaimCenter 10.0 - EXAM
Professional  Certification – ClaimCenter 10.0 Configuration – Exam</t>
  </si>
  <si>
    <t>Nitesh Kumar</t>
  </si>
  <si>
    <t>nitesh.c.kumar@capgemini.com</t>
  </si>
  <si>
    <t>Santoshi Pratyusha Vasiraju</t>
  </si>
  <si>
    <t>vasiraju-santoshi.pratyusha@capgemini.com</t>
  </si>
  <si>
    <t xml:space="preserve">Sravan Kumar </t>
  </si>
  <si>
    <t>s-sravan.a.kumar@capgemini.com</t>
  </si>
  <si>
    <t>Aparna Rai Koul</t>
  </si>
  <si>
    <t>aparna.rai-koul@capgemini.com</t>
  </si>
  <si>
    <t xml:space="preserve">Associate Certification - InsuranceSuite 10.0 Analyst </t>
  </si>
  <si>
    <t>Professional Certification – ClaimCenter 10.0 Business Analyst Exam</t>
  </si>
  <si>
    <t>Purab Soni</t>
  </si>
  <si>
    <t>purab.soni@capgemini.com</t>
  </si>
  <si>
    <t>Akshit Anand</t>
  </si>
  <si>
    <t>akshit.anand@capgemini.com</t>
  </si>
  <si>
    <t>stuart.jerome@capgemini.com</t>
  </si>
  <si>
    <t>Associate Certification - InsuranceSuite 10.0 Analyst Exam</t>
  </si>
  <si>
    <t>Saurav Dhar</t>
  </si>
  <si>
    <t>saurav.dhar@capgemini.com</t>
  </si>
  <si>
    <t>Kesari Hanuman Moganti</t>
  </si>
  <si>
    <t>kesari-hanuman.moganti@capgemini.com</t>
  </si>
  <si>
    <t xml:space="preserve">
Specialist Certification - PolicyCenter 10.0 - EXAM
</t>
  </si>
  <si>
    <t>Vishweshwari Pattanshetti</t>
  </si>
  <si>
    <t>vishweshwari.pattanshetti@capgemini.com</t>
  </si>
  <si>
    <t xml:space="preserve">InsuranceSuite 10.0  Fundamentals 
</t>
  </si>
  <si>
    <t>Associate Certification - InsuranceSuite 10.0 Developer - Exam
Professional  Certification – ClaimCenter 10.0 Configuration – Exam</t>
  </si>
  <si>
    <t>Ayush Goel</t>
  </si>
  <si>
    <t>ayush.goel@capgemini.com</t>
  </si>
  <si>
    <t>Shagun Srivastava</t>
  </si>
  <si>
    <t>shagun.srivastava@capgemini.com</t>
  </si>
  <si>
    <t>Vimal Joshi</t>
  </si>
  <si>
    <t>vimal.joshi@capgemini.com</t>
  </si>
  <si>
    <t>Kalyan, Kharidu</t>
  </si>
  <si>
    <t>Varshini Meka</t>
  </si>
  <si>
    <t>meka.varshini@capgemini.com</t>
  </si>
  <si>
    <t>Venkatesh Dasari</t>
  </si>
  <si>
    <t>dasari.venkatesh@capgemini.com</t>
  </si>
  <si>
    <t xml:space="preserve">InsuranceSuite 10.0  Fundamentals 
Associate Certification - InsuranceSuite 10.0 Developer - 
Specialist Certification - ClaimCenter 10.0 - </t>
  </si>
  <si>
    <t>Professional  Certification – ClaimCenter 10.0 Configuration – Exam</t>
  </si>
  <si>
    <t>Megala Kasiviswanathan</t>
  </si>
  <si>
    <t>megala.kasiviswanathan@capgemini.com</t>
  </si>
  <si>
    <t>Varshitha Doddi</t>
  </si>
  <si>
    <t>doddi.varshitha@capgemini.com</t>
  </si>
  <si>
    <t>Samyukta Kothalikar</t>
  </si>
  <si>
    <t>kothalikar.samyukta@capgemini.com</t>
  </si>
  <si>
    <t xml:space="preserve">InsuranceSuite 10.0  Fundamentals 
Associate Certification - InsuranceSuite 10.0 Developer - 
</t>
  </si>
  <si>
    <t xml:space="preserve"> Swarnali Chakraborty</t>
  </si>
  <si>
    <t>swarnali.chakraborty@capgemini.com</t>
  </si>
  <si>
    <t>Customer Email</t>
  </si>
  <si>
    <t>Learners Email</t>
  </si>
  <si>
    <t>Sriram.Jagannathan@beazley.com</t>
  </si>
  <si>
    <t>Sherez.Contractor@beazley.com</t>
  </si>
  <si>
    <t>Prince.Mathew@beazley.com</t>
  </si>
  <si>
    <t>Ramesh.Goundu@beazley.com</t>
  </si>
  <si>
    <t>Rajesh.Bandaru@beazley.com</t>
  </si>
  <si>
    <t>Balaji.KV@beazley.com</t>
  </si>
  <si>
    <t>Vamshi.Chennamadhavuni10@beazley.com</t>
  </si>
  <si>
    <t>Sahersh.Gupta@beazley.com</t>
  </si>
  <si>
    <t>Gourab.Marik@beazley.com</t>
  </si>
  <si>
    <t>Muralidhara.Bandaru@beazley.com</t>
  </si>
  <si>
    <t>Vikas.Tiwari@beazley.com</t>
  </si>
  <si>
    <t>Anupama.Nalla@beazley.com</t>
  </si>
  <si>
    <t>Kalyan.Kharidu@beazley.com</t>
  </si>
  <si>
    <t>Sai.Datta@beazley.com</t>
  </si>
  <si>
    <t>Pavan.Kusumanchi@beazley.com</t>
  </si>
  <si>
    <t>Kamakshya.Mishra@beazley.com</t>
  </si>
  <si>
    <t>Kiran.Akula@beazley.com</t>
  </si>
  <si>
    <t>Mannt Siddqiui</t>
  </si>
  <si>
    <t>Yet to get Bezley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</si>
</sst>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\ h:mm"/>
    <numFmt numFmtId="165" formatCode="0.0"/>
    <numFmt numFmtId="166" formatCode="[$-F400]h:mm:ss\ AM/PM"/>
    <numFmt numFmtId="167" formatCode="m/d/yy\ h:mm;@"/>
  </numFmts>
  <fonts count="3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1"/>
      <color theme="10"/>
      <name val="Calibri"/>
    </font>
    <font>
      <b/>
      <sz val="11"/>
      <color rgb="FFFFFFFF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EEAF6"/>
        <bgColor rgb="FFDEEAF6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2" borderId="1" xfId="0" applyFont="1" applyFill="1" applyBorder="1"/>
    <xf numFmtId="0" fontId="5" fillId="0" borderId="2" xfId="0" applyFont="1" applyBorder="1" applyAlignment="1">
      <alignment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5" fillId="0" borderId="2" xfId="0" applyFont="1" applyBorder="1" applyAlignment="1">
      <alignment vertical="top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3" borderId="3" xfId="0" applyFont="1" applyFill="1" applyBorder="1"/>
    <xf numFmtId="0" fontId="5" fillId="3" borderId="4" xfId="0" applyFont="1" applyFill="1" applyBorder="1"/>
    <xf numFmtId="0" fontId="5" fillId="0" borderId="0" xfId="0" applyFont="1"/>
    <xf numFmtId="167" fontId="3" fillId="0" borderId="0" xfId="0" applyNumberFormat="1" applyFont="1"/>
    <xf numFmtId="0" fontId="9" fillId="0" borderId="2" xfId="1" applyBorder="1" applyAlignment="1">
      <alignment vertical="center" wrapText="1"/>
    </xf>
    <xf numFmtId="0" fontId="9" fillId="0" borderId="2" xfId="1" applyBorder="1" applyAlignment="1">
      <alignment vertical="top"/>
    </xf>
    <xf numFmtId="166" fontId="5" fillId="0" borderId="6" xfId="0" applyNumberFormat="1" applyFont="1" applyBorder="1"/>
    <xf numFmtId="166" fontId="5" fillId="0" borderId="7" xfId="0" applyNumberFormat="1" applyFont="1" applyBorder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9" fillId="0" borderId="2" xfId="1" applyBorder="1"/>
    <xf numFmtId="166" fontId="5" fillId="0" borderId="1" xfId="0" applyNumberFormat="1" applyFont="1" applyBorder="1"/>
    <xf numFmtId="0" fontId="5" fillId="3" borderId="5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/>
    </xf>
    <xf numFmtId="0" fontId="9" fillId="3" borderId="5" xfId="1" applyFill="1" applyBorder="1" applyAlignment="1">
      <alignment horizontal="left" vertical="top" wrapText="1"/>
    </xf>
    <xf numFmtId="0" fontId="9" fillId="3" borderId="5" xfId="1" applyFill="1" applyBorder="1" applyAlignment="1">
      <alignment horizontal="left" vertical="top"/>
    </xf>
    <xf numFmtId="0" fontId="8" fillId="2" borderId="1" xfId="0" applyFont="1" applyFill="1" applyBorder="1"/>
    <xf numFmtId="0" fontId="5" fillId="3" borderId="5" xfId="0" applyFont="1" applyFill="1" applyBorder="1" applyAlignment="1">
      <alignment horizontal="left" vertical="top"/>
    </xf>
    <xf numFmtId="0" fontId="4" fillId="2" borderId="2" xfId="0" applyFont="1" applyFill="1" applyBorder="1"/>
    <xf numFmtId="0" fontId="10" fillId="0" borderId="2" xfId="0" applyFont="1" applyBorder="1"/>
    <xf numFmtId="0" fontId="0" fillId="0" borderId="6" xfId="0" applyBorder="1"/>
    <xf numFmtId="0" fontId="0" fillId="3" borderId="2" xfId="0" applyFill="1" applyBorder="1"/>
    <xf numFmtId="165" fontId="5" fillId="3" borderId="2" xfId="0" applyNumberFormat="1" applyFont="1" applyFill="1" applyBorder="1" applyAlignment="1">
      <alignment horizontal="center" vertical="center" wrapText="1"/>
    </xf>
    <xf numFmtId="0" fontId="9" fillId="3" borderId="2" xfId="1" applyFill="1" applyBorder="1"/>
    <xf numFmtId="0" fontId="10" fillId="3" borderId="2" xfId="0" applyFont="1" applyFill="1" applyBorder="1"/>
    <xf numFmtId="166" fontId="5" fillId="0" borderId="8" xfId="0" applyNumberFormat="1" applyFont="1" applyBorder="1"/>
    <xf numFmtId="0" fontId="0" fillId="0" borderId="8" xfId="0" applyBorder="1"/>
    <xf numFmtId="166" fontId="5" fillId="0" borderId="9" xfId="0" applyNumberFormat="1" applyFont="1" applyBorder="1"/>
    <xf numFmtId="0" fontId="0" fillId="0" borderId="5" xfId="0" applyBorder="1"/>
    <xf numFmtId="0" fontId="11" fillId="4" borderId="0" xfId="0" applyFont="1" applyFill="1"/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0" fontId="15" fillId="0" borderId="2" xfId="0" applyFont="1" applyBorder="1" applyAlignment="1">
      <alignment vertical="center" wrapText="1"/>
    </xf>
    <xf numFmtId="0" fontId="17" fillId="2" borderId="2" xfId="0" applyFont="1" applyFill="1" applyBorder="1"/>
    <xf numFmtId="0" fontId="17" fillId="2" borderId="1" xfId="0" applyFont="1" applyFill="1" applyBorder="1"/>
    <xf numFmtId="0" fontId="18" fillId="4" borderId="0" xfId="0" applyFont="1" applyFill="1"/>
    <xf numFmtId="0" fontId="19" fillId="0" borderId="0" xfId="0" applyFont="1"/>
    <xf numFmtId="165" fontId="20" fillId="3" borderId="2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/>
    </xf>
    <xf numFmtId="166" fontId="20" fillId="3" borderId="6" xfId="0" applyNumberFormat="1" applyFont="1" applyFill="1" applyBorder="1" applyAlignment="1">
      <alignment horizontal="left" vertical="center"/>
    </xf>
    <xf numFmtId="166" fontId="20" fillId="3" borderId="8" xfId="0" applyNumberFormat="1" applyFont="1" applyFill="1" applyBorder="1" applyAlignment="1">
      <alignment horizontal="left" vertical="center"/>
    </xf>
    <xf numFmtId="166" fontId="20" fillId="3" borderId="8" xfId="0" applyNumberFormat="1" applyFont="1" applyFill="1" applyBorder="1" applyAlignment="1">
      <alignment horizontal="left" vertical="center" wrapText="1"/>
    </xf>
    <xf numFmtId="0" fontId="23" fillId="5" borderId="0" xfId="0" applyFont="1" applyFill="1"/>
    <xf numFmtId="166" fontId="20" fillId="6" borderId="8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165" fontId="5" fillId="0" borderId="10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/>
    <xf numFmtId="0" fontId="16" fillId="0" borderId="2" xfId="0" applyFont="1" applyBorder="1" applyAlignment="1">
      <alignment vertical="center" wrapText="1"/>
    </xf>
    <xf numFmtId="0" fontId="14" fillId="0" borderId="2" xfId="0" applyFont="1" applyBorder="1"/>
    <xf numFmtId="0" fontId="13" fillId="5" borderId="0" xfId="0" applyFont="1" applyFill="1"/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24" fillId="7" borderId="5" xfId="0" applyFont="1" applyFill="1" applyBorder="1"/>
    <xf numFmtId="0" fontId="24" fillId="7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9" fillId="0" borderId="5" xfId="0" applyFont="1" applyBorder="1"/>
    <xf numFmtId="0" fontId="19" fillId="0" borderId="5" xfId="0" applyFont="1" applyBorder="1" applyAlignment="1">
      <alignment wrapText="1"/>
    </xf>
    <xf numFmtId="0" fontId="19" fillId="0" borderId="5" xfId="0" applyFont="1" applyBorder="1" applyAlignment="1">
      <alignment horizontal="left" vertical="center"/>
    </xf>
    <xf numFmtId="0" fontId="19" fillId="0" borderId="11" xfId="0" applyFont="1" applyBorder="1"/>
    <xf numFmtId="0" fontId="19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4" fillId="7" borderId="5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9" fontId="0" fillId="0" borderId="0" xfId="0" applyNumberFormat="1" applyAlignment="1">
      <alignment horizontal="left"/>
    </xf>
    <xf numFmtId="9" fontId="0" fillId="0" borderId="0" xfId="2" applyFont="1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2" applyFont="1"/>
    <xf numFmtId="0" fontId="20" fillId="0" borderId="11" xfId="0" applyFont="1" applyBorder="1" applyAlignment="1">
      <alignment vertical="center" wrapText="1"/>
    </xf>
    <xf numFmtId="0" fontId="12" fillId="8" borderId="0" xfId="0" applyFont="1" applyFill="1"/>
    <xf numFmtId="9" fontId="13" fillId="10" borderId="0" xfId="2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30" fillId="5" borderId="0" xfId="0" applyFont="1" applyFill="1"/>
    <xf numFmtId="9" fontId="13" fillId="11" borderId="0" xfId="2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9" fontId="13" fillId="13" borderId="0" xfId="2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5" xfId="0" applyBorder="1" applyAlignment="1">
      <alignment horizontal="center" vertical="center"/>
    </xf>
    <xf numFmtId="0" fontId="0" fillId="7" borderId="5" xfId="0" applyFill="1" applyBorder="1"/>
    <xf numFmtId="0" fontId="0" fillId="11" borderId="5" xfId="0" applyFill="1" applyBorder="1"/>
    <xf numFmtId="0" fontId="0" fillId="14" borderId="5" xfId="0" applyFill="1" applyBorder="1" applyAlignment="1">
      <alignment horizontal="center" vertical="center"/>
    </xf>
    <xf numFmtId="0" fontId="13" fillId="7" borderId="5" xfId="0" applyFont="1" applyFill="1" applyBorder="1"/>
    <xf numFmtId="0" fontId="0" fillId="11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5" xfId="0" applyFill="1" applyBorder="1"/>
    <xf numFmtId="9" fontId="0" fillId="14" borderId="5" xfId="2" applyFont="1" applyFill="1" applyBorder="1" applyAlignment="1">
      <alignment horizontal="center" vertical="center"/>
    </xf>
    <xf numFmtId="9" fontId="0" fillId="11" borderId="5" xfId="2" applyFont="1" applyFill="1" applyBorder="1" applyAlignment="1">
      <alignment horizontal="center" vertical="center"/>
    </xf>
    <xf numFmtId="9" fontId="0" fillId="13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9" fontId="0" fillId="18" borderId="5" xfId="2" applyFont="1" applyFill="1" applyBorder="1" applyAlignment="1">
      <alignment horizontal="center" vertical="center"/>
    </xf>
    <xf numFmtId="0" fontId="1" fillId="11" borderId="5" xfId="0" applyFont="1" applyFill="1" applyBorder="1"/>
    <xf numFmtId="9" fontId="0" fillId="0" borderId="0" xfId="0" applyNumberFormat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left" vertical="center"/>
    </xf>
    <xf numFmtId="0" fontId="0" fillId="3" borderId="5" xfId="0" applyFill="1" applyBorder="1"/>
    <xf numFmtId="0" fontId="31" fillId="7" borderId="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24" fillId="9" borderId="13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 wrapText="1"/>
    </xf>
    <xf numFmtId="0" fontId="12" fillId="8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9" fontId="0" fillId="0" borderId="15" xfId="2" applyFont="1" applyBorder="1" applyAlignment="1">
      <alignment horizontal="left" vertical="center"/>
    </xf>
    <xf numFmtId="9" fontId="0" fillId="0" borderId="16" xfId="2" applyFont="1" applyBorder="1" applyAlignment="1">
      <alignment horizontal="left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/>
    </xf>
    <xf numFmtId="0" fontId="13" fillId="15" borderId="17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9" fontId="0" fillId="14" borderId="15" xfId="2" applyFont="1" applyFill="1" applyBorder="1" applyAlignment="1">
      <alignment horizontal="left"/>
    </xf>
    <xf numFmtId="9" fontId="0" fillId="14" borderId="16" xfId="2" applyFont="1" applyFill="1" applyBorder="1" applyAlignment="1">
      <alignment horizontal="left"/>
    </xf>
    <xf numFmtId="9" fontId="0" fillId="11" borderId="15" xfId="2" applyFont="1" applyFill="1" applyBorder="1" applyAlignment="1">
      <alignment horizontal="left"/>
    </xf>
    <xf numFmtId="9" fontId="0" fillId="11" borderId="16" xfId="2" applyFont="1" applyFill="1" applyBorder="1" applyAlignment="1">
      <alignment horizontal="left"/>
    </xf>
    <xf numFmtId="0" fontId="13" fillId="15" borderId="15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9" fontId="0" fillId="13" borderId="15" xfId="2" applyFont="1" applyFill="1" applyBorder="1" applyAlignment="1">
      <alignment horizontal="left"/>
    </xf>
    <xf numFmtId="9" fontId="0" fillId="13" borderId="16" xfId="2" applyFont="1" applyFill="1" applyBorder="1" applyAlignment="1">
      <alignment horizontal="left"/>
    </xf>
    <xf numFmtId="9" fontId="0" fillId="18" borderId="15" xfId="2" applyFont="1" applyFill="1" applyBorder="1" applyAlignment="1">
      <alignment horizontal="left"/>
    </xf>
    <xf numFmtId="9" fontId="0" fillId="18" borderId="16" xfId="2" applyFont="1" applyFill="1" applyBorder="1" applyAlignment="1">
      <alignment horizontal="left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6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eam_Roster-style" pivot="0" count="3" xr9:uid="{00000000-0011-0000-FFFF-FFFF00000000}">
      <tableStyleElement type="headerRow" dxfId="60"/>
      <tableStyleElement type="firstRowStripe" dxfId="59"/>
      <tableStyleElement type="secondRowStripe" dxfId="58"/>
    </tableStyle>
  </tableStyles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uru, Raghava" refreshedDate="45496.77883541667" createdVersion="8" refreshedVersion="8" minRefreshableVersion="3" recordCount="39" xr:uid="{AECF0668-AAB6-4FCA-9E2E-322A7D071D6F}">
  <cacheSource type="worksheet">
    <worksheetSource ref="A2:J41" sheet="GWCTemp"/>
  </cacheSource>
  <cacheFields count="10">
    <cacheField name="SLNo" numFmtId="0">
      <sharedItems containsString="0" containsBlank="1" containsNumber="1" containsInteger="1" minValue="1" maxValue="27"/>
    </cacheField>
    <cacheField name="Name" numFmtId="0">
      <sharedItems containsBlank="1"/>
    </cacheField>
    <cacheField name="BZ Stream" numFmtId="0">
      <sharedItems containsBlank="1" count="8">
        <s v="BillingCenter"/>
        <m/>
        <s v="PolicyCenter"/>
        <s v="Arctitect"/>
        <s v="Integration"/>
        <s v="Digital"/>
        <s v="Testing"/>
        <s v="Migration"/>
      </sharedItems>
    </cacheField>
    <cacheField name="Certification Stream" numFmtId="0">
      <sharedItems/>
    </cacheField>
    <cacheField name="Role" numFmtId="0">
      <sharedItems containsBlank="1" count="4">
        <s v="BA"/>
        <m/>
        <s v="Dev"/>
        <s v="QA"/>
      </sharedItems>
    </cacheField>
    <cacheField name="Role Type" numFmtId="0">
      <sharedItems containsBlank="1" count="4">
        <s v="Lead"/>
        <m/>
        <s v="Associate"/>
        <s v="Specialist"/>
      </sharedItems>
    </cacheField>
    <cacheField name="Compliance" numFmtId="0">
      <sharedItems containsBlank="1" count="3">
        <s v="Yes"/>
        <m/>
        <s v="No"/>
      </sharedItems>
    </cacheField>
    <cacheField name="Associate" numFmtId="0">
      <sharedItems containsBlank="1" count="2">
        <m/>
        <s v="Yes"/>
      </sharedItems>
    </cacheField>
    <cacheField name="Specialist" numFmtId="0">
      <sharedItems containsBlank="1"/>
    </cacheField>
    <cacheField name="Professional (ACE)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uru, Raghava" refreshedDate="45499.667740856479" createdVersion="8" refreshedVersion="8" minRefreshableVersion="3" recordCount="39" xr:uid="{5220D602-FE18-4081-AB3C-DAD6BF2D05F6}">
  <cacheSource type="worksheet">
    <worksheetSource ref="A2:J41" sheet="GW Certifications"/>
  </cacheSource>
  <cacheFields count="10">
    <cacheField name="SLNo" numFmtId="0">
      <sharedItems containsString="0" containsBlank="1" containsNumber="1" containsInteger="1" minValue="1" maxValue="27"/>
    </cacheField>
    <cacheField name="Names" numFmtId="0">
      <sharedItems containsBlank="1"/>
    </cacheField>
    <cacheField name="Name" numFmtId="0">
      <sharedItems containsBlank="1" count="28">
        <s v="Sriram Jagannathan"/>
        <s v="Sherezad Contractor"/>
        <s v="Prince Mathew"/>
        <s v="Ramesh Goundu"/>
        <s v="Balaji KV"/>
        <s v="Vamshi Chennamadhavuni"/>
        <s v="Sahersh Gupta"/>
        <s v="Gourab Marik"/>
        <s v="Muralidhara Rao Bandaru"/>
        <s v="Vikas Tiwari"/>
        <s v="Kalyan Kharidu"/>
        <s v="Pavan Kumar Kusumanchi"/>
        <s v="Kamakshya Prasad Mishra"/>
        <s v="Kiran Akula"/>
        <s v="Sridhar Illinda"/>
        <s v="Srinivas Chandu"/>
        <s v="Mannat Siddqiui"/>
        <s v="Kanupriya Prajapati"/>
        <s v="Surender Goud, Ganbite"/>
        <s v="Rupesh Guttula"/>
        <s v="Ravi Prakash Tiwari"/>
        <s v="Stuart Jerome"/>
        <s v="Wayne Grice"/>
        <s v="Sudhindra Keshavanarayana"/>
        <s v="Swarnali Chakraborty"/>
        <s v="Maciej Laszczky"/>
        <s v="Nagendra Valluripalli"/>
        <m u="1"/>
      </sharedItems>
    </cacheField>
    <cacheField name="BZ Stream" numFmtId="0">
      <sharedItems count="7">
        <s v="BillingCenter"/>
        <s v="PolicyCenter"/>
        <s v="Arctitect"/>
        <s v="Integration"/>
        <s v="Digital"/>
        <s v="Testing"/>
        <s v="Migration"/>
      </sharedItems>
    </cacheField>
    <cacheField name="Certification Stream" numFmtId="0">
      <sharedItems count="7">
        <s v="PolicyCenter"/>
        <s v="BillingCenter"/>
        <s v="ClaimCenter"/>
        <s v="Integration"/>
        <s v="Insurance Suite"/>
        <s v="Yet to complete"/>
        <s v="Digital"/>
      </sharedItems>
    </cacheField>
    <cacheField name="Role" numFmtId="0">
      <sharedItems count="3">
        <s v="BA"/>
        <s v="Dev"/>
        <s v="QA"/>
      </sharedItems>
    </cacheField>
    <cacheField name="Role Type" numFmtId="0">
      <sharedItems count="3">
        <s v="Lead"/>
        <s v="Associate"/>
        <s v="Specialist"/>
      </sharedItems>
    </cacheField>
    <cacheField name="Associate" numFmtId="0">
      <sharedItems count="2">
        <s v="Yes"/>
        <s v="No"/>
      </sharedItems>
    </cacheField>
    <cacheField name="Specialist" numFmtId="0">
      <sharedItems/>
    </cacheField>
    <cacheField name="Professional (ACE)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Sriram Jagannathan"/>
    <x v="0"/>
    <s v="PolicyCenter"/>
    <x v="0"/>
    <x v="0"/>
    <x v="0"/>
    <x v="0"/>
    <m/>
    <s v="Yes"/>
  </r>
  <r>
    <m/>
    <m/>
    <x v="1"/>
    <s v="BillingCenter"/>
    <x v="1"/>
    <x v="1"/>
    <x v="1"/>
    <x v="0"/>
    <m/>
    <s v="Yes"/>
  </r>
  <r>
    <m/>
    <m/>
    <x v="1"/>
    <s v="ClaimCenter"/>
    <x v="1"/>
    <x v="1"/>
    <x v="1"/>
    <x v="0"/>
    <m/>
    <s v="Yes"/>
  </r>
  <r>
    <n v="2"/>
    <s v="Sherezad Contractor"/>
    <x v="2"/>
    <s v="PolicyCenter"/>
    <x v="0"/>
    <x v="0"/>
    <x v="0"/>
    <x v="0"/>
    <m/>
    <s v="Yes"/>
  </r>
  <r>
    <n v="3"/>
    <s v="Prince Mathew"/>
    <x v="2"/>
    <s v="PolicyCenter"/>
    <x v="0"/>
    <x v="2"/>
    <x v="0"/>
    <x v="0"/>
    <m/>
    <s v="Yes"/>
  </r>
  <r>
    <m/>
    <m/>
    <x v="1"/>
    <s v="ClaimCenter"/>
    <x v="1"/>
    <x v="1"/>
    <x v="1"/>
    <x v="0"/>
    <m/>
    <s v="Yes"/>
  </r>
  <r>
    <n v="4"/>
    <s v="Ramesh Goundu"/>
    <x v="2"/>
    <s v="PolicyCenter"/>
    <x v="2"/>
    <x v="0"/>
    <x v="0"/>
    <x v="0"/>
    <m/>
    <s v="Yes"/>
  </r>
  <r>
    <n v="5"/>
    <s v="Balaji KV"/>
    <x v="0"/>
    <s v="PolicyCenter"/>
    <x v="2"/>
    <x v="0"/>
    <x v="0"/>
    <x v="0"/>
    <m/>
    <s v="Yes"/>
  </r>
  <r>
    <m/>
    <m/>
    <x v="1"/>
    <s v="BillingCenter"/>
    <x v="1"/>
    <x v="1"/>
    <x v="1"/>
    <x v="0"/>
    <m/>
    <s v="Yes"/>
  </r>
  <r>
    <m/>
    <m/>
    <x v="1"/>
    <s v="ClaimCenter"/>
    <x v="1"/>
    <x v="1"/>
    <x v="1"/>
    <x v="0"/>
    <s v="Yes"/>
    <m/>
  </r>
  <r>
    <n v="6"/>
    <s v="Vamshi Chennamadhavuni"/>
    <x v="3"/>
    <s v="PolicyCenter"/>
    <x v="2"/>
    <x v="3"/>
    <x v="0"/>
    <x v="0"/>
    <m/>
    <s v="Yes"/>
  </r>
  <r>
    <m/>
    <m/>
    <x v="1"/>
    <s v="BillingCenter"/>
    <x v="1"/>
    <x v="1"/>
    <x v="1"/>
    <x v="0"/>
    <m/>
    <s v="Yes"/>
  </r>
  <r>
    <n v="7"/>
    <s v="Sahersh Gupta"/>
    <x v="4"/>
    <s v="Integration"/>
    <x v="2"/>
    <x v="0"/>
    <x v="2"/>
    <x v="0"/>
    <s v="Yes"/>
    <m/>
  </r>
  <r>
    <n v="8"/>
    <s v="Gourab Marik"/>
    <x v="4"/>
    <s v="Integration"/>
    <x v="2"/>
    <x v="0"/>
    <x v="0"/>
    <x v="0"/>
    <m/>
    <s v="Yes"/>
  </r>
  <r>
    <n v="9"/>
    <s v="Muralidhara Rao Bandaru"/>
    <x v="4"/>
    <s v="Integration"/>
    <x v="2"/>
    <x v="0"/>
    <x v="0"/>
    <x v="0"/>
    <m/>
    <s v="Yes"/>
  </r>
  <r>
    <n v="10"/>
    <s v="Vikas Tiwari"/>
    <x v="2"/>
    <s v="PolicyCenter"/>
    <x v="2"/>
    <x v="2"/>
    <x v="0"/>
    <x v="1"/>
    <m/>
    <m/>
  </r>
  <r>
    <n v="11"/>
    <s v="Kalyan Kharidu"/>
    <x v="4"/>
    <s v="Insurance Suite"/>
    <x v="2"/>
    <x v="2"/>
    <x v="0"/>
    <x v="1"/>
    <m/>
    <m/>
  </r>
  <r>
    <n v="12"/>
    <s v="Pavan Kumar Kusumanchi"/>
    <x v="5"/>
    <s v="Yet to complete"/>
    <x v="2"/>
    <x v="2"/>
    <x v="2"/>
    <x v="0"/>
    <m/>
    <m/>
  </r>
  <r>
    <n v="13"/>
    <s v="Kamakshya Prasad Mishra"/>
    <x v="5"/>
    <s v="PolicyCenter"/>
    <x v="2"/>
    <x v="2"/>
    <x v="0"/>
    <x v="1"/>
    <m/>
    <m/>
  </r>
  <r>
    <m/>
    <m/>
    <x v="1"/>
    <s v="ClaimCenter"/>
    <x v="1"/>
    <x v="1"/>
    <x v="1"/>
    <x v="0"/>
    <m/>
    <s v="Yes"/>
  </r>
  <r>
    <m/>
    <m/>
    <x v="1"/>
    <s v="Digital"/>
    <x v="1"/>
    <x v="1"/>
    <x v="1"/>
    <x v="1"/>
    <m/>
    <m/>
  </r>
  <r>
    <m/>
    <m/>
    <x v="1"/>
    <s v="Integration"/>
    <x v="1"/>
    <x v="1"/>
    <x v="1"/>
    <x v="1"/>
    <m/>
    <m/>
  </r>
  <r>
    <n v="14"/>
    <s v="Kiran Akula"/>
    <x v="6"/>
    <s v="Insurance Suite"/>
    <x v="3"/>
    <x v="0"/>
    <x v="0"/>
    <x v="1"/>
    <m/>
    <m/>
  </r>
  <r>
    <n v="15"/>
    <s v="Sridhar Illinda"/>
    <x v="6"/>
    <s v="Yet to complete"/>
    <x v="3"/>
    <x v="0"/>
    <x v="2"/>
    <x v="0"/>
    <m/>
    <m/>
  </r>
  <r>
    <n v="16"/>
    <s v="Srinivas Chandu"/>
    <x v="6"/>
    <s v="Yet to complete"/>
    <x v="3"/>
    <x v="2"/>
    <x v="2"/>
    <x v="0"/>
    <m/>
    <m/>
  </r>
  <r>
    <n v="17"/>
    <s v="Mannat Siddqiui"/>
    <x v="4"/>
    <s v="Insurance Suite"/>
    <x v="2"/>
    <x v="2"/>
    <x v="0"/>
    <x v="1"/>
    <m/>
    <m/>
  </r>
  <r>
    <n v="18"/>
    <s v="Kanupriya Prajapati"/>
    <x v="2"/>
    <s v="PolicyCenter"/>
    <x v="2"/>
    <x v="2"/>
    <x v="0"/>
    <x v="1"/>
    <m/>
    <m/>
  </r>
  <r>
    <n v="19"/>
    <s v="Surender Goud, Ganbite"/>
    <x v="4"/>
    <s v="Insurance Suite"/>
    <x v="2"/>
    <x v="2"/>
    <x v="0"/>
    <x v="1"/>
    <m/>
    <m/>
  </r>
  <r>
    <n v="20"/>
    <s v="Rupesh Guttula"/>
    <x v="0"/>
    <s v="Yet to complete"/>
    <x v="0"/>
    <x v="2"/>
    <x v="2"/>
    <x v="0"/>
    <m/>
    <m/>
  </r>
  <r>
    <n v="21"/>
    <s v="Ravi Prakash Tiwari"/>
    <x v="0"/>
    <s v="Insurance Suite"/>
    <x v="2"/>
    <x v="0"/>
    <x v="2"/>
    <x v="1"/>
    <m/>
    <m/>
  </r>
  <r>
    <n v="22"/>
    <s v="Stuart Jerome"/>
    <x v="2"/>
    <s v="Yet to complete"/>
    <x v="0"/>
    <x v="2"/>
    <x v="2"/>
    <x v="0"/>
    <m/>
    <m/>
  </r>
  <r>
    <n v="23"/>
    <s v="Wayne Grice"/>
    <x v="2"/>
    <s v="Yet to complete"/>
    <x v="0"/>
    <x v="2"/>
    <x v="2"/>
    <x v="0"/>
    <m/>
    <m/>
  </r>
  <r>
    <n v="24"/>
    <s v="Sudhindra Keshavanarayana"/>
    <x v="7"/>
    <s v="ClaimCenter"/>
    <x v="2"/>
    <x v="0"/>
    <x v="2"/>
    <x v="0"/>
    <m/>
    <s v="Yes"/>
  </r>
  <r>
    <m/>
    <m/>
    <x v="1"/>
    <s v="Insurance Suite"/>
    <x v="1"/>
    <x v="1"/>
    <x v="1"/>
    <x v="1"/>
    <m/>
    <m/>
  </r>
  <r>
    <n v="25"/>
    <s v="Swarnali Chakraborty"/>
    <x v="4"/>
    <s v="Yet to complete"/>
    <x v="2"/>
    <x v="2"/>
    <x v="2"/>
    <x v="0"/>
    <m/>
    <m/>
  </r>
  <r>
    <n v="26"/>
    <s v="Maciej Laszczky"/>
    <x v="4"/>
    <s v="PolicyCenter"/>
    <x v="2"/>
    <x v="2"/>
    <x v="0"/>
    <x v="0"/>
    <s v="Yes"/>
    <m/>
  </r>
  <r>
    <m/>
    <m/>
    <x v="1"/>
    <s v="ClaimCenter"/>
    <x v="1"/>
    <x v="1"/>
    <x v="1"/>
    <x v="0"/>
    <m/>
    <s v="Yes"/>
  </r>
  <r>
    <m/>
    <m/>
    <x v="1"/>
    <s v="Integration"/>
    <x v="1"/>
    <x v="1"/>
    <x v="1"/>
    <x v="0"/>
    <s v="Yes"/>
    <m/>
  </r>
  <r>
    <n v="27"/>
    <s v="Nagendra Valluripalli"/>
    <x v="2"/>
    <s v="ClaimCenter"/>
    <x v="2"/>
    <x v="0"/>
    <x v="2"/>
    <x v="0"/>
    <s v="Ye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Sriram Jagannathan"/>
    <x v="0"/>
    <x v="0"/>
    <x v="0"/>
    <x v="0"/>
    <x v="0"/>
    <x v="0"/>
    <s v="Yes"/>
    <x v="0"/>
  </r>
  <r>
    <m/>
    <m/>
    <x v="0"/>
    <x v="0"/>
    <x v="1"/>
    <x v="0"/>
    <x v="0"/>
    <x v="0"/>
    <s v="Yes"/>
    <x v="0"/>
  </r>
  <r>
    <m/>
    <m/>
    <x v="0"/>
    <x v="0"/>
    <x v="2"/>
    <x v="0"/>
    <x v="0"/>
    <x v="0"/>
    <s v="Yes"/>
    <x v="0"/>
  </r>
  <r>
    <n v="2"/>
    <s v="Sherezad Contractor"/>
    <x v="1"/>
    <x v="1"/>
    <x v="0"/>
    <x v="0"/>
    <x v="0"/>
    <x v="0"/>
    <s v="Yes"/>
    <x v="0"/>
  </r>
  <r>
    <n v="3"/>
    <s v="Prince Mathew"/>
    <x v="2"/>
    <x v="1"/>
    <x v="0"/>
    <x v="0"/>
    <x v="1"/>
    <x v="0"/>
    <s v="Yes"/>
    <x v="0"/>
  </r>
  <r>
    <m/>
    <m/>
    <x v="2"/>
    <x v="1"/>
    <x v="2"/>
    <x v="0"/>
    <x v="1"/>
    <x v="0"/>
    <s v="Yes"/>
    <x v="0"/>
  </r>
  <r>
    <n v="4"/>
    <s v="Ramesh Goundu"/>
    <x v="3"/>
    <x v="1"/>
    <x v="0"/>
    <x v="1"/>
    <x v="0"/>
    <x v="0"/>
    <s v="Yes"/>
    <x v="0"/>
  </r>
  <r>
    <n v="5"/>
    <s v="Balaji KV"/>
    <x v="4"/>
    <x v="0"/>
    <x v="0"/>
    <x v="1"/>
    <x v="0"/>
    <x v="0"/>
    <s v="Yes"/>
    <x v="0"/>
  </r>
  <r>
    <m/>
    <m/>
    <x v="4"/>
    <x v="0"/>
    <x v="1"/>
    <x v="1"/>
    <x v="0"/>
    <x v="0"/>
    <s v="Yes"/>
    <x v="0"/>
  </r>
  <r>
    <m/>
    <m/>
    <x v="4"/>
    <x v="0"/>
    <x v="2"/>
    <x v="1"/>
    <x v="0"/>
    <x v="0"/>
    <s v="Yes"/>
    <x v="1"/>
  </r>
  <r>
    <n v="6"/>
    <s v="Vamshi Chennamadhavuni"/>
    <x v="5"/>
    <x v="2"/>
    <x v="0"/>
    <x v="1"/>
    <x v="2"/>
    <x v="0"/>
    <s v="Yes"/>
    <x v="0"/>
  </r>
  <r>
    <m/>
    <m/>
    <x v="5"/>
    <x v="2"/>
    <x v="1"/>
    <x v="1"/>
    <x v="2"/>
    <x v="0"/>
    <s v="Yes"/>
    <x v="0"/>
  </r>
  <r>
    <n v="7"/>
    <s v="Sahersh Gupta"/>
    <x v="6"/>
    <x v="3"/>
    <x v="3"/>
    <x v="1"/>
    <x v="0"/>
    <x v="0"/>
    <s v="Yes"/>
    <x v="1"/>
  </r>
  <r>
    <n v="8"/>
    <s v="Gourab Marik"/>
    <x v="7"/>
    <x v="3"/>
    <x v="3"/>
    <x v="1"/>
    <x v="0"/>
    <x v="0"/>
    <s v="Yes"/>
    <x v="0"/>
  </r>
  <r>
    <n v="9"/>
    <s v="Muralidhara Rao Bandaru"/>
    <x v="8"/>
    <x v="3"/>
    <x v="3"/>
    <x v="1"/>
    <x v="0"/>
    <x v="0"/>
    <s v="Yes"/>
    <x v="0"/>
  </r>
  <r>
    <n v="10"/>
    <s v="Vikas Tiwari"/>
    <x v="9"/>
    <x v="1"/>
    <x v="0"/>
    <x v="1"/>
    <x v="1"/>
    <x v="0"/>
    <s v="No"/>
    <x v="1"/>
  </r>
  <r>
    <n v="11"/>
    <s v="Kalyan Kharidu"/>
    <x v="10"/>
    <x v="3"/>
    <x v="4"/>
    <x v="1"/>
    <x v="1"/>
    <x v="0"/>
    <s v="No"/>
    <x v="1"/>
  </r>
  <r>
    <n v="12"/>
    <s v="Pavan Kumar Kusumanchi"/>
    <x v="11"/>
    <x v="4"/>
    <x v="5"/>
    <x v="1"/>
    <x v="1"/>
    <x v="1"/>
    <s v="No"/>
    <x v="1"/>
  </r>
  <r>
    <n v="13"/>
    <s v="Kamakshya Prasad Mishra"/>
    <x v="12"/>
    <x v="4"/>
    <x v="0"/>
    <x v="1"/>
    <x v="1"/>
    <x v="0"/>
    <s v="No"/>
    <x v="1"/>
  </r>
  <r>
    <m/>
    <m/>
    <x v="12"/>
    <x v="4"/>
    <x v="2"/>
    <x v="1"/>
    <x v="1"/>
    <x v="0"/>
    <s v="Yes"/>
    <x v="0"/>
  </r>
  <r>
    <m/>
    <m/>
    <x v="12"/>
    <x v="4"/>
    <x v="6"/>
    <x v="1"/>
    <x v="1"/>
    <x v="0"/>
    <s v="No"/>
    <x v="1"/>
  </r>
  <r>
    <m/>
    <m/>
    <x v="12"/>
    <x v="4"/>
    <x v="3"/>
    <x v="1"/>
    <x v="1"/>
    <x v="0"/>
    <s v="No"/>
    <x v="1"/>
  </r>
  <r>
    <n v="14"/>
    <s v="Kiran Akula"/>
    <x v="13"/>
    <x v="5"/>
    <x v="4"/>
    <x v="2"/>
    <x v="0"/>
    <x v="0"/>
    <s v="No"/>
    <x v="1"/>
  </r>
  <r>
    <n v="15"/>
    <s v="Sridhar Illinda"/>
    <x v="14"/>
    <x v="5"/>
    <x v="5"/>
    <x v="2"/>
    <x v="0"/>
    <x v="1"/>
    <s v="No"/>
    <x v="1"/>
  </r>
  <r>
    <n v="16"/>
    <s v="Srinivas Chandu"/>
    <x v="15"/>
    <x v="5"/>
    <x v="5"/>
    <x v="2"/>
    <x v="1"/>
    <x v="1"/>
    <s v="No"/>
    <x v="1"/>
  </r>
  <r>
    <n v="17"/>
    <s v="Mannat Siddqiui"/>
    <x v="16"/>
    <x v="3"/>
    <x v="4"/>
    <x v="1"/>
    <x v="1"/>
    <x v="0"/>
    <s v="No"/>
    <x v="1"/>
  </r>
  <r>
    <n v="18"/>
    <s v="Kanupriya Prajapati"/>
    <x v="17"/>
    <x v="1"/>
    <x v="0"/>
    <x v="1"/>
    <x v="1"/>
    <x v="0"/>
    <s v="No"/>
    <x v="1"/>
  </r>
  <r>
    <n v="19"/>
    <s v="Surender Goud, Ganbite"/>
    <x v="18"/>
    <x v="3"/>
    <x v="4"/>
    <x v="1"/>
    <x v="1"/>
    <x v="0"/>
    <s v="No"/>
    <x v="1"/>
  </r>
  <r>
    <n v="20"/>
    <s v="Rupesh Guttula"/>
    <x v="19"/>
    <x v="0"/>
    <x v="5"/>
    <x v="0"/>
    <x v="1"/>
    <x v="1"/>
    <s v="No"/>
    <x v="1"/>
  </r>
  <r>
    <n v="21"/>
    <s v="Ravi Prakash Tiwari"/>
    <x v="20"/>
    <x v="0"/>
    <x v="4"/>
    <x v="1"/>
    <x v="0"/>
    <x v="0"/>
    <s v="No"/>
    <x v="1"/>
  </r>
  <r>
    <n v="22"/>
    <s v="Stuart Jerome"/>
    <x v="21"/>
    <x v="1"/>
    <x v="5"/>
    <x v="0"/>
    <x v="1"/>
    <x v="1"/>
    <s v="No"/>
    <x v="1"/>
  </r>
  <r>
    <n v="23"/>
    <s v="Wayne Grice"/>
    <x v="22"/>
    <x v="1"/>
    <x v="5"/>
    <x v="0"/>
    <x v="1"/>
    <x v="1"/>
    <s v="No"/>
    <x v="1"/>
  </r>
  <r>
    <n v="24"/>
    <s v="Sudhindra Keshavanarayana"/>
    <x v="23"/>
    <x v="6"/>
    <x v="2"/>
    <x v="1"/>
    <x v="0"/>
    <x v="0"/>
    <s v="Yes"/>
    <x v="0"/>
  </r>
  <r>
    <m/>
    <m/>
    <x v="23"/>
    <x v="6"/>
    <x v="4"/>
    <x v="1"/>
    <x v="0"/>
    <x v="0"/>
    <s v="No"/>
    <x v="1"/>
  </r>
  <r>
    <n v="25"/>
    <s v="Swarnali Chakraborty"/>
    <x v="24"/>
    <x v="3"/>
    <x v="5"/>
    <x v="1"/>
    <x v="1"/>
    <x v="1"/>
    <s v="No"/>
    <x v="1"/>
  </r>
  <r>
    <n v="26"/>
    <s v="Maciej Laszczky"/>
    <x v="25"/>
    <x v="3"/>
    <x v="0"/>
    <x v="1"/>
    <x v="1"/>
    <x v="0"/>
    <s v="Yes"/>
    <x v="1"/>
  </r>
  <r>
    <m/>
    <m/>
    <x v="25"/>
    <x v="3"/>
    <x v="2"/>
    <x v="1"/>
    <x v="1"/>
    <x v="0"/>
    <s v="Yes"/>
    <x v="0"/>
  </r>
  <r>
    <m/>
    <m/>
    <x v="25"/>
    <x v="3"/>
    <x v="3"/>
    <x v="1"/>
    <x v="1"/>
    <x v="0"/>
    <s v="Yes"/>
    <x v="1"/>
  </r>
  <r>
    <n v="27"/>
    <s v="Nagendra Valluripalli"/>
    <x v="26"/>
    <x v="1"/>
    <x v="2"/>
    <x v="1"/>
    <x v="0"/>
    <x v="0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AAB2D-8518-4CF8-BA51-B41F43B89583}" name="PivotTable12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rowHeaderCaption="BZ Stream" colHeaderCaption="Compliance">
  <location ref="K6:P20" firstHeaderRow="1" firstDataRow="2" firstDataCol="3"/>
  <pivotFields count="10">
    <pivotField compact="0" showAll="0"/>
    <pivotField dataField="1" compact="0" showAll="0"/>
    <pivotField axis="axisRow" compact="0" multipleItemSelectionAllowed="1" showAll="0">
      <items count="9">
        <item sd="0" x="2"/>
        <item sd="0" x="0"/>
        <item sd="0" x="4"/>
        <item sd="0" x="5"/>
        <item sd="0" x="7"/>
        <item sd="0" x="6"/>
        <item h="1" sd="0" x="3"/>
        <item sd="0" x="1"/>
        <item t="default" sd="0"/>
      </items>
    </pivotField>
    <pivotField compact="0" showAll="0"/>
    <pivotField axis="axisRow" compact="0" showAll="0">
      <items count="5">
        <item x="0"/>
        <item x="2"/>
        <item x="3"/>
        <item h="1" x="1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Col" compact="0" showAll="0">
      <items count="4">
        <item x="0"/>
        <item x="2"/>
        <item h="1" x="1"/>
        <item t="default"/>
      </items>
    </pivotField>
    <pivotField compact="0" showAll="0"/>
    <pivotField compact="0" showAll="0"/>
    <pivotField compact="0" showAll="0"/>
  </pivotFields>
  <rowFields count="3">
    <field x="5"/>
    <field x="2"/>
    <field x="4"/>
  </rowFields>
  <rowItems count="13">
    <i>
      <x/>
    </i>
    <i r="1">
      <x/>
    </i>
    <i r="1">
      <x v="1"/>
    </i>
    <i r="1">
      <x v="2"/>
    </i>
    <i r="1">
      <x v="3"/>
    </i>
    <i r="1">
      <x v="5"/>
    </i>
    <i>
      <x v="1"/>
    </i>
    <i r="1">
      <x/>
    </i>
    <i r="1">
      <x v="1"/>
    </i>
    <i r="1">
      <x v="2"/>
    </i>
    <i r="1">
      <x v="4"/>
    </i>
    <i r="1">
      <x v="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Roles" fld="1" subtotal="count" baseField="0" baseItem="0"/>
  </dataFields>
  <formats count="7">
    <format dxfId="51">
      <pivotArea outline="0" collapsedLevelsAreSubtotals="1" fieldPosition="0"/>
    </format>
    <format dxfId="52">
      <pivotArea outline="0" collapsedLevelsAreSubtotals="1" fieldPosition="0"/>
    </format>
    <format dxfId="53">
      <pivotArea dataOnly="0" labelOnly="1" fieldPosition="0">
        <references count="1">
          <reference field="6" count="0"/>
        </references>
      </pivotArea>
    </format>
    <format dxfId="54">
      <pivotArea dataOnly="0" labelOnly="1" grandCol="1" outline="0" fieldPosition="0"/>
    </format>
    <format dxfId="55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6"/>
          </reference>
        </references>
      </pivotArea>
    </format>
    <format dxfId="56">
      <pivotArea dataOnly="0" labelOnly="1" fieldPosition="0">
        <references count="1">
          <reference field="6" count="0"/>
        </references>
      </pivotArea>
    </format>
    <format dxfId="57">
      <pivotArea dataOnly="0" labelOnly="1" grandCol="1" outline="0" fieldPosition="0"/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F0DA6-10E0-4AAB-8B85-8DADBA304E2F}" name="PivotTable11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rowHeaderCaption="BZ Stream" colHeaderCaption="Compliance">
  <location ref="B6:G35" firstHeaderRow="1" firstDataRow="2" firstDataCol="3"/>
  <pivotFields count="10">
    <pivotField compact="0" showAll="0"/>
    <pivotField dataField="1" compact="0" showAll="0"/>
    <pivotField axis="axisRow" compact="0" multipleItemSelectionAllowed="1" showAll="0">
      <items count="9">
        <item x="2"/>
        <item x="0"/>
        <item x="4"/>
        <item x="5"/>
        <item x="7"/>
        <item x="6"/>
        <item h="1" x="3"/>
        <item x="1"/>
        <item t="default"/>
      </items>
    </pivotField>
    <pivotField compact="0" showAll="0"/>
    <pivotField axis="axisRow" compact="0" showAll="0">
      <items count="5">
        <item x="0"/>
        <item x="2"/>
        <item x="3"/>
        <item h="1" x="1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Col" compact="0" showAll="0">
      <items count="4">
        <item x="0"/>
        <item x="2"/>
        <item h="1" x="1"/>
        <item t="default"/>
      </items>
    </pivotField>
    <pivotField compact="0" showAll="0"/>
    <pivotField compact="0" showAll="0"/>
    <pivotField compact="0" showAll="0"/>
  </pivotFields>
  <rowFields count="3">
    <field x="2"/>
    <field x="4"/>
    <field x="5"/>
  </rowFields>
  <rowItems count="28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 v="1"/>
    </i>
    <i>
      <x v="2"/>
    </i>
    <i r="1">
      <x v="1"/>
    </i>
    <i r="2">
      <x/>
    </i>
    <i r="2">
      <x v="1"/>
    </i>
    <i>
      <x v="3"/>
    </i>
    <i r="1">
      <x v="1"/>
    </i>
    <i r="2">
      <x/>
    </i>
    <i>
      <x v="4"/>
    </i>
    <i r="1">
      <x v="1"/>
    </i>
    <i r="2">
      <x v="1"/>
    </i>
    <i>
      <x v="5"/>
    </i>
    <i r="1">
      <x v="2"/>
    </i>
    <i r="2">
      <x/>
    </i>
    <i r="2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Roles" fld="1" subtotal="count" baseField="0" baseItem="0"/>
  </dataFields>
  <formats count="7"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dataOnly="0" labelOnly="1" fieldPosition="0">
        <references count="1">
          <reference field="6" count="0"/>
        </references>
      </pivotArea>
    </format>
    <format dxfId="47">
      <pivotArea dataOnly="0" labelOnly="1" grandCol="1" outline="0" fieldPosition="0"/>
    </format>
    <format dxfId="48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6"/>
          </reference>
        </references>
      </pivotArea>
    </format>
    <format dxfId="49">
      <pivotArea dataOnly="0" labelOnly="1" fieldPosition="0">
        <references count="1">
          <reference field="6" count="0"/>
        </references>
      </pivotArea>
    </format>
    <format dxfId="50">
      <pivotArea dataOnly="0" labelOnly="1" grandCol="1" outline="0" fieldPosition="0"/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845EF-F0F4-4817-90BB-314AFA8C87C6}" name="PivotTable33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AI5:AL8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h="1" x="1"/>
        <item h="1" x="2"/>
        <item h="1" x="6"/>
        <item x="4"/>
        <item x="3"/>
        <item h="1" x="0"/>
        <item x="5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3">
    <field x="5"/>
    <field x="6"/>
    <field x="2"/>
  </rowFields>
  <rowItems count="2"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2">
    <pageField fld="3" item="3" hier="-1"/>
    <pageField fld="4" hier="-1"/>
  </pageFields>
  <dataFields count="1">
    <dataField name="ACE Cert" fld="9" subtotal="count" baseField="0" baseItem="0"/>
  </dataFields>
  <formats count="6">
    <format dxfId="38">
      <pivotArea outline="0" collapsedLevelsAreSubtotals="1" fieldPosition="0"/>
    </format>
    <format dxfId="39">
      <pivotArea dataOnly="0" labelOnly="1" fieldPosition="0">
        <references count="1">
          <reference field="9" count="0"/>
        </references>
      </pivotArea>
    </format>
    <format dxfId="40">
      <pivotArea dataOnly="0" labelOnly="1" grandCol="1" outline="0" fieldPosition="0"/>
    </format>
    <format dxfId="41">
      <pivotArea outline="0" collapsedLevelsAreSubtotals="1" fieldPosition="0"/>
    </format>
    <format dxfId="42">
      <pivotArea dataOnly="0" labelOnly="1" fieldPosition="0">
        <references count="1">
          <reference field="9" count="0"/>
        </references>
      </pivotArea>
    </format>
    <format dxfId="43">
      <pivotArea dataOnly="0" labelOnly="1" grandCol="1" outline="0" fieldPosition="0"/>
    </format>
  </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CDFF8-E970-4CB9-B443-C14AEB819A7E}" name="PivotTable32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AB5:AE10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h="1" x="1"/>
        <item h="1" x="2"/>
        <item h="1" x="6"/>
        <item x="4"/>
        <item x="3"/>
        <item h="1" x="0"/>
        <item x="5"/>
        <item t="default"/>
      </items>
    </pivotField>
    <pivotField axis="axisRow" showAll="0">
      <items count="4">
        <item sd="0" x="0"/>
        <item x="1"/>
        <item sd="0" x="2"/>
        <item t="default" sd="0"/>
      </items>
    </pivotField>
    <pivotField axis="axisRow" showAll="0">
      <items count="4">
        <item sd="0" x="1"/>
        <item sd="0" x="0"/>
        <item x="2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3">
    <field x="5"/>
    <field x="6"/>
    <field x="2"/>
  </rowFields>
  <rowItems count="4">
    <i>
      <x v="1"/>
    </i>
    <i r="1">
      <x/>
    </i>
    <i r="1">
      <x v="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2">
    <pageField fld="3" item="3" hier="-1"/>
    <pageField fld="4" hier="-1"/>
  </pageFields>
  <dataFields count="1">
    <dataField name="Associate Cert" fld="7" subtotal="count" baseField="0" baseItem="0"/>
  </dataFields>
  <formats count="6">
    <format dxfId="32">
      <pivotArea outline="0" collapsedLevelsAreSubtotals="1" fieldPosition="0"/>
    </format>
    <format dxfId="33">
      <pivotArea dataOnly="0" labelOnly="1" fieldPosition="0">
        <references count="1">
          <reference field="7" count="0"/>
        </references>
      </pivotArea>
    </format>
    <format dxfId="34">
      <pivotArea dataOnly="0" labelOnly="1" grandCol="1" outline="0" fieldPosition="0"/>
    </format>
    <format dxfId="35">
      <pivotArea outline="0" collapsedLevelsAreSubtotals="1" fieldPosition="0"/>
    </format>
    <format dxfId="36">
      <pivotArea dataOnly="0" labelOnly="1" fieldPosition="0">
        <references count="1">
          <reference field="7" count="0"/>
        </references>
      </pivotArea>
    </format>
    <format dxfId="37">
      <pivotArea dataOnly="0" labelOnly="1" grandCol="1" outline="0" fieldPosition="0"/>
    </format>
  </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CB41C-523B-435B-A2C5-3600AF74F27D}" name="PivotTable31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P5:S9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x="1"/>
        <item h="1" x="2"/>
        <item h="1" x="6"/>
        <item h="1" x="4"/>
        <item h="1" x="3"/>
        <item h="1" x="0"/>
        <item x="5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4">
        <item x="1"/>
        <item x="0"/>
        <item x="2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3">
    <field x="5"/>
    <field x="6"/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2">
    <pageField fld="3" item="1" hier="-1"/>
    <pageField fld="4" hier="-1"/>
  </pageFields>
  <dataFields count="1">
    <dataField name="Associate Cert" fld="7" subtotal="count" baseField="0" baseItem="0"/>
  </dataFields>
  <formats count="6">
    <format dxfId="26">
      <pivotArea outline="0" collapsedLevelsAreSubtotals="1" fieldPosition="0"/>
    </format>
    <format dxfId="27">
      <pivotArea dataOnly="0" labelOnly="1" fieldPosition="0">
        <references count="1">
          <reference field="7" count="0"/>
        </references>
      </pivotArea>
    </format>
    <format dxfId="28">
      <pivotArea dataOnly="0" labelOnly="1" grandCol="1" outline="0" fieldPosition="0"/>
    </format>
    <format dxfId="29">
      <pivotArea outline="0" collapsedLevelsAreSubtotals="1" fieldPosition="0"/>
    </format>
    <format dxfId="30">
      <pivotArea dataOnly="0" labelOnly="1" fieldPosition="0">
        <references count="1">
          <reference field="7" count="0"/>
        </references>
      </pivotArea>
    </format>
    <format dxfId="31">
      <pivotArea dataOnly="0" labelOnly="1" grandCol="1" outline="0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87873-E09B-4754-9544-F85106F8E653}" name="PivotTable30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W5:Z9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x="1"/>
        <item h="1" x="2"/>
        <item h="1" x="6"/>
        <item h="1" x="4"/>
        <item h="1" x="3"/>
        <item h="1" x="0"/>
        <item x="5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3">
    <field x="5"/>
    <field x="6"/>
    <field x="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2">
    <pageField fld="3" item="1" hier="-1"/>
    <pageField fld="4" hier="-1"/>
  </pageFields>
  <dataFields count="1">
    <dataField name="ACE Cert" fld="9" subtotal="count" baseField="0" baseItem="0"/>
  </dataFields>
  <formats count="6">
    <format dxfId="20">
      <pivotArea outline="0" collapsedLevelsAreSubtotals="1" fieldPosition="0"/>
    </format>
    <format dxfId="21">
      <pivotArea dataOnly="0" labelOnly="1" fieldPosition="0">
        <references count="1">
          <reference field="9" count="0"/>
        </references>
      </pivotArea>
    </format>
    <format dxfId="22">
      <pivotArea dataOnly="0" labelOnly="1" grandCol="1" outline="0" fieldPosition="0"/>
    </format>
    <format dxfId="23">
      <pivotArea outline="0" collapsedLevelsAreSubtotals="1" fieldPosition="0"/>
    </format>
    <format dxfId="24">
      <pivotArea dataOnly="0" labelOnly="1" fieldPosition="0">
        <references count="1">
          <reference field="9" count="0"/>
        </references>
      </pivotArea>
    </format>
    <format dxfId="25">
      <pivotArea dataOnly="0" labelOnly="1" grandCol="1" outline="0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57142-3D74-49A3-940A-C823921C312F}" name="PivotTable29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J5:M9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h="1" x="1"/>
        <item h="1" x="2"/>
        <item h="1" x="6"/>
        <item h="1" x="4"/>
        <item h="1" x="3"/>
        <item x="0"/>
        <item x="5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3">
    <field x="5"/>
    <field x="6"/>
    <field x="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2">
    <pageField fld="3" item="5" hier="-1"/>
    <pageField fld="4" hier="-1"/>
  </pageFields>
  <dataFields count="1">
    <dataField name="ACE Cert" fld="9" subtotal="count" baseField="0" baseItem="0"/>
  </dataFields>
  <formats count="6">
    <format dxfId="14">
      <pivotArea outline="0" collapsedLevelsAreSubtotals="1" fieldPosition="0"/>
    </format>
    <format dxfId="15">
      <pivotArea dataOnly="0" labelOnly="1" fieldPosition="0">
        <references count="1">
          <reference field="9" count="0"/>
        </references>
      </pivotArea>
    </format>
    <format dxfId="16">
      <pivotArea dataOnly="0" labelOnly="1" grandCol="1" outline="0" fieldPosition="0"/>
    </format>
    <format dxfId="17">
      <pivotArea outline="0" collapsedLevelsAreSubtotals="1" fieldPosition="0"/>
    </format>
    <format dxfId="18">
      <pivotArea dataOnly="0" labelOnly="1" fieldPosition="0">
        <references count="1">
          <reference field="9" count="0"/>
        </references>
      </pivotArea>
    </format>
    <format dxfId="19">
      <pivotArea dataOnly="0" labelOnly="1" grandCol="1" outline="0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A7857-BFE5-4FF3-82BA-A19DCB0D0075}" name="PivotTable28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 colHeaderCaption="Compliance">
  <location ref="C5:F9" firstHeaderRow="1" firstDataRow="2" firstDataCol="1" rowPageCount="2" colPageCount="1"/>
  <pivotFields count="10">
    <pivotField showAll="0"/>
    <pivotField showAll="0"/>
    <pivotField axis="axisRow" showAll="0">
      <items count="29">
        <item x="4"/>
        <item x="7"/>
        <item x="10"/>
        <item x="12"/>
        <item x="17"/>
        <item x="13"/>
        <item x="25"/>
        <item x="16"/>
        <item x="8"/>
        <item x="26"/>
        <item x="11"/>
        <item x="2"/>
        <item x="3"/>
        <item x="20"/>
        <item x="19"/>
        <item x="6"/>
        <item x="1"/>
        <item x="14"/>
        <item x="15"/>
        <item x="0"/>
        <item x="21"/>
        <item x="23"/>
        <item x="18"/>
        <item x="24"/>
        <item x="5"/>
        <item x="9"/>
        <item x="22"/>
        <item m="1" x="27"/>
        <item t="default"/>
      </items>
    </pivotField>
    <pivotField axis="axisPage" showAll="0">
      <items count="8">
        <item x="2"/>
        <item x="0"/>
        <item x="4"/>
        <item x="3"/>
        <item x="6"/>
        <item x="1"/>
        <item x="5"/>
        <item t="default"/>
      </items>
    </pivotField>
    <pivotField axis="axisPage" multipleItemSelectionAllowed="1" showAll="0">
      <items count="8">
        <item h="1" x="1"/>
        <item h="1" x="2"/>
        <item h="1" x="6"/>
        <item h="1" x="4"/>
        <item h="1" x="3"/>
        <item x="0"/>
        <item x="5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4">
        <item sd="0" x="1"/>
        <item x="0"/>
        <item x="2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3">
    <field x="5"/>
    <field x="6"/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2">
    <pageField fld="3" item="5" hier="-1"/>
    <pageField fld="4" hier="-1"/>
  </pageFields>
  <dataFields count="1">
    <dataField name="Associate Cert" fld="7" subtotal="count" baseField="0" baseItem="0"/>
  </dataFields>
  <formats count="6">
    <format dxfId="8">
      <pivotArea outline="0" collapsedLevelsAreSubtotals="1" fieldPosition="0"/>
    </format>
    <format dxfId="9">
      <pivotArea dataOnly="0" labelOnly="1" fieldPosition="0">
        <references count="1">
          <reference field="7" count="0"/>
        </references>
      </pivotArea>
    </format>
    <format dxfId="10">
      <pivotArea dataOnly="0" labelOnly="1" grandCol="1" outline="0" fieldPosition="0"/>
    </format>
    <format dxfId="11">
      <pivotArea outline="0" collapsedLevelsAreSubtotals="1" fieldPosition="0"/>
    </format>
    <format dxfId="12">
      <pivotArea dataOnly="0" labelOnly="1" fieldPosition="0">
        <references count="1">
          <reference field="7" count="0"/>
        </references>
      </pivotArea>
    </format>
    <format dxfId="13">
      <pivotArea dataOnly="0" labelOnly="1" grandCol="1" outline="0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31">
  <autoFilter ref="A1:K31" xr:uid="{00000000-000C-0000-FFFF-FFFF00000000}">
    <filterColumn colId="6">
      <filters>
        <filter val="Testing"/>
      </filters>
    </filterColumn>
  </autoFilter>
  <sortState xmlns:xlrd2="http://schemas.microsoft.com/office/spreadsheetml/2017/richdata2" ref="A2:I18">
    <sortCondition ref="C1:C18"/>
  </sortState>
  <tableColumns count="11">
    <tableColumn id="1" xr3:uid="{00000000-0010-0000-0000-000001000000}" name="Team Member" dataDxfId="7"/>
    <tableColumn id="2" xr3:uid="{00000000-0010-0000-0000-000002000000}" name="Weight" dataDxfId="6"/>
    <tableColumn id="3" xr3:uid="{00000000-0010-0000-0000-000003000000}" name="Role" dataDxfId="5"/>
    <tableColumn id="4" xr3:uid="{00000000-0010-0000-0000-000004000000}" name="Role Type" dataDxfId="4"/>
    <tableColumn id="5" xr3:uid="{00000000-0010-0000-0000-000005000000}" name="Email" dataDxfId="3"/>
    <tableColumn id="6" xr3:uid="{00000000-0010-0000-0000-000006000000}" name="Alternate Email" dataDxfId="2"/>
    <tableColumn id="10" xr3:uid="{F119BBB3-4852-4266-8080-772DFA8C9687}" name="Track" dataDxfId="1"/>
    <tableColumn id="8" xr3:uid="{00000000-0010-0000-0000-000008000000}" name="Associate Cert Target Certification Date"/>
    <tableColumn id="9" xr3:uid="{00000000-0010-0000-0000-000009000000}" name="Ace Cert Target Certification Date"/>
    <tableColumn id="11" xr3:uid="{F26CEB51-2E79-4D51-8D9C-097782CA700A}" name="Cerification data" dataDxfId="0"/>
    <tableColumn id="7" xr3:uid="{627251FB-6BB9-472C-A812-C3844647EFF0}" name="Complaince"/>
  </tableColumns>
  <tableStyleInfo name="Team_Ro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gourab.marik@capgemini.com" TargetMode="External"/><Relationship Id="rId13" Type="http://schemas.openxmlformats.org/officeDocument/2006/relationships/hyperlink" Target="mailto:venkata-satya-datta-sai.vaddi@capgemini.com" TargetMode="External"/><Relationship Id="rId18" Type="http://schemas.openxmlformats.org/officeDocument/2006/relationships/hyperlink" Target="mailto:mannat.a.siddiqui@capgemini.com" TargetMode="External"/><Relationship Id="rId3" Type="http://schemas.openxmlformats.org/officeDocument/2006/relationships/hyperlink" Target="mailto:sherezad.contractor@capgemini.com" TargetMode="External"/><Relationship Id="rId21" Type="http://schemas.openxmlformats.org/officeDocument/2006/relationships/hyperlink" Target="mailto:Srinivas.chandu@capgemini.com" TargetMode="External"/><Relationship Id="rId7" Type="http://schemas.openxmlformats.org/officeDocument/2006/relationships/hyperlink" Target="mailto:sahersh.gupta@capgemini.com" TargetMode="External"/><Relationship Id="rId12" Type="http://schemas.openxmlformats.org/officeDocument/2006/relationships/hyperlink" Target="mailto:kharidu.kalyan@capgemini.com" TargetMode="External"/><Relationship Id="rId17" Type="http://schemas.openxmlformats.org/officeDocument/2006/relationships/hyperlink" Target="mailto:kp.mishra@capgemini.com" TargetMode="External"/><Relationship Id="rId2" Type="http://schemas.openxmlformats.org/officeDocument/2006/relationships/hyperlink" Target="mailto:sriram.a.jagannathan@capgemini.com" TargetMode="External"/><Relationship Id="rId16" Type="http://schemas.openxmlformats.org/officeDocument/2006/relationships/hyperlink" Target="mailto:prince.mathew@capgemini.com" TargetMode="External"/><Relationship Id="rId20" Type="http://schemas.openxmlformats.org/officeDocument/2006/relationships/hyperlink" Target="mailto:Sridhar.illinda@capgemini.com" TargetMode="External"/><Relationship Id="rId1" Type="http://schemas.openxmlformats.org/officeDocument/2006/relationships/hyperlink" Target="mailto:ramesh.goundu@capgemini.com" TargetMode="External"/><Relationship Id="rId6" Type="http://schemas.openxmlformats.org/officeDocument/2006/relationships/hyperlink" Target="mailto:vamshi.chennamadhavuni@capgemini.com" TargetMode="External"/><Relationship Id="rId11" Type="http://schemas.openxmlformats.org/officeDocument/2006/relationships/hyperlink" Target="mailto:satya-nalla.nalla@capgemini.com" TargetMode="External"/><Relationship Id="rId5" Type="http://schemas.openxmlformats.org/officeDocument/2006/relationships/hyperlink" Target="mailto:balaji.kv@capgemini.com" TargetMode="External"/><Relationship Id="rId15" Type="http://schemas.openxmlformats.org/officeDocument/2006/relationships/hyperlink" Target="mailto:pavan-kumar.kusumanchi@capgemini.com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vikas.b.tiwari@capgemini.com" TargetMode="External"/><Relationship Id="rId19" Type="http://schemas.openxmlformats.org/officeDocument/2006/relationships/hyperlink" Target="mailto:kanupriya.a.prajapati@capgemini.com" TargetMode="External"/><Relationship Id="rId4" Type="http://schemas.openxmlformats.org/officeDocument/2006/relationships/hyperlink" Target="mailto:rajesh.bandaru@capgemini.com" TargetMode="External"/><Relationship Id="rId9" Type="http://schemas.openxmlformats.org/officeDocument/2006/relationships/hyperlink" Target="mailto:muralidhara-rao.bandaru@capgemini.com" TargetMode="External"/><Relationship Id="rId14" Type="http://schemas.openxmlformats.org/officeDocument/2006/relationships/hyperlink" Target="mailto:kiran.akula@capgemini.com" TargetMode="External"/><Relationship Id="rId22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venkata-satya-datta-sai.vaddi@capgemini.com" TargetMode="External"/><Relationship Id="rId3" Type="http://schemas.openxmlformats.org/officeDocument/2006/relationships/hyperlink" Target="mailto:vikas.boppidi@capgemini.com" TargetMode="External"/><Relationship Id="rId7" Type="http://schemas.openxmlformats.org/officeDocument/2006/relationships/hyperlink" Target="mailto:megala.kasiviswanathan@capgemini.com" TargetMode="External"/><Relationship Id="rId2" Type="http://schemas.openxmlformats.org/officeDocument/2006/relationships/hyperlink" Target="mailto:chirra.sowmya@capgemini.com" TargetMode="External"/><Relationship Id="rId1" Type="http://schemas.openxmlformats.org/officeDocument/2006/relationships/hyperlink" Target="mailto:bhanu.siva-sai-vekanuru@capgemini.com" TargetMode="External"/><Relationship Id="rId6" Type="http://schemas.openxmlformats.org/officeDocument/2006/relationships/hyperlink" Target="mailto:dasari.venkatesh@capgemini.com" TargetMode="External"/><Relationship Id="rId5" Type="http://schemas.openxmlformats.org/officeDocument/2006/relationships/hyperlink" Target="mailto:kharidu.kalyan@capgemini.com" TargetMode="External"/><Relationship Id="rId10" Type="http://schemas.openxmlformats.org/officeDocument/2006/relationships/hyperlink" Target="mailto:vimal.joshi@capgemini.com" TargetMode="External"/><Relationship Id="rId4" Type="http://schemas.openxmlformats.org/officeDocument/2006/relationships/hyperlink" Target="mailto:stuart.jerome@capgemini.com" TargetMode="External"/><Relationship Id="rId9" Type="http://schemas.openxmlformats.org/officeDocument/2006/relationships/hyperlink" Target="mailto:telidela.kishore@capgemini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venkata-satya-datta-sai.vaddi@capgemini.com" TargetMode="External"/><Relationship Id="rId18" Type="http://schemas.openxmlformats.org/officeDocument/2006/relationships/hyperlink" Target="mailto:Sriram.Jagannathan@beazley.com" TargetMode="External"/><Relationship Id="rId26" Type="http://schemas.openxmlformats.org/officeDocument/2006/relationships/hyperlink" Target="mailto:Gourab.Marik@beazley.com" TargetMode="External"/><Relationship Id="rId3" Type="http://schemas.openxmlformats.org/officeDocument/2006/relationships/hyperlink" Target="mailto:sherezad.contractor@capgemini.com" TargetMode="External"/><Relationship Id="rId21" Type="http://schemas.openxmlformats.org/officeDocument/2006/relationships/hyperlink" Target="mailto:Ramesh.Goundu@beazley.com" TargetMode="External"/><Relationship Id="rId34" Type="http://schemas.openxmlformats.org/officeDocument/2006/relationships/hyperlink" Target="mailto:Kiran.Akula@beazley.com" TargetMode="External"/><Relationship Id="rId7" Type="http://schemas.openxmlformats.org/officeDocument/2006/relationships/hyperlink" Target="mailto:sahersh.gupta@capgemini.com" TargetMode="External"/><Relationship Id="rId12" Type="http://schemas.openxmlformats.org/officeDocument/2006/relationships/hyperlink" Target="mailto:kharidu.kalyan@capgemini.com" TargetMode="External"/><Relationship Id="rId17" Type="http://schemas.openxmlformats.org/officeDocument/2006/relationships/hyperlink" Target="mailto:kp.mishra@capgemini.com" TargetMode="External"/><Relationship Id="rId25" Type="http://schemas.openxmlformats.org/officeDocument/2006/relationships/hyperlink" Target="mailto:Sahersh.Gupta@beazley.com" TargetMode="External"/><Relationship Id="rId33" Type="http://schemas.openxmlformats.org/officeDocument/2006/relationships/hyperlink" Target="mailto:Pavan.Kusumanchi@beazley.com" TargetMode="External"/><Relationship Id="rId2" Type="http://schemas.openxmlformats.org/officeDocument/2006/relationships/hyperlink" Target="mailto:sriram.a.jagannathan@capgemini.com" TargetMode="External"/><Relationship Id="rId16" Type="http://schemas.openxmlformats.org/officeDocument/2006/relationships/hyperlink" Target="mailto:prince.mathew@capgemini.com" TargetMode="External"/><Relationship Id="rId20" Type="http://schemas.openxmlformats.org/officeDocument/2006/relationships/hyperlink" Target="mailto:Prince.Mathew@beazley.com" TargetMode="External"/><Relationship Id="rId29" Type="http://schemas.openxmlformats.org/officeDocument/2006/relationships/hyperlink" Target="mailto:Kalyan.Kharidu@beazley.com" TargetMode="External"/><Relationship Id="rId1" Type="http://schemas.openxmlformats.org/officeDocument/2006/relationships/hyperlink" Target="mailto:ramesh.goundu@capgemini.com" TargetMode="External"/><Relationship Id="rId6" Type="http://schemas.openxmlformats.org/officeDocument/2006/relationships/hyperlink" Target="mailto:vamshi.chennamadhavuni@capgemini.com" TargetMode="External"/><Relationship Id="rId11" Type="http://schemas.openxmlformats.org/officeDocument/2006/relationships/hyperlink" Target="mailto:satya-nalla.nalla@capgemini.com" TargetMode="External"/><Relationship Id="rId24" Type="http://schemas.openxmlformats.org/officeDocument/2006/relationships/hyperlink" Target="mailto:Vamshi.Chennamadhavuni10@beazley.com" TargetMode="External"/><Relationship Id="rId32" Type="http://schemas.openxmlformats.org/officeDocument/2006/relationships/hyperlink" Target="mailto:Sai.Datta@beazley.com" TargetMode="External"/><Relationship Id="rId5" Type="http://schemas.openxmlformats.org/officeDocument/2006/relationships/hyperlink" Target="mailto:balaji.kv@capgemini.com" TargetMode="External"/><Relationship Id="rId15" Type="http://schemas.openxmlformats.org/officeDocument/2006/relationships/hyperlink" Target="mailto:pavan-kumar.kusumanchi@capgemini.com" TargetMode="External"/><Relationship Id="rId23" Type="http://schemas.openxmlformats.org/officeDocument/2006/relationships/hyperlink" Target="mailto:Balaji.KV@beazley.com" TargetMode="External"/><Relationship Id="rId28" Type="http://schemas.openxmlformats.org/officeDocument/2006/relationships/hyperlink" Target="mailto:Anupama.Nalla@beazley.com" TargetMode="External"/><Relationship Id="rId36" Type="http://schemas.openxmlformats.org/officeDocument/2006/relationships/hyperlink" Target="mailto:kanupriya.a.prajapati@capgemini.com" TargetMode="External"/><Relationship Id="rId10" Type="http://schemas.openxmlformats.org/officeDocument/2006/relationships/hyperlink" Target="mailto:vikas.b.tiwari@capgemini.com" TargetMode="External"/><Relationship Id="rId19" Type="http://schemas.openxmlformats.org/officeDocument/2006/relationships/hyperlink" Target="mailto:Sherez.Contractor@beazley.com" TargetMode="External"/><Relationship Id="rId31" Type="http://schemas.openxmlformats.org/officeDocument/2006/relationships/hyperlink" Target="mailto:Vikas.Tiwari@beazley.com" TargetMode="External"/><Relationship Id="rId4" Type="http://schemas.openxmlformats.org/officeDocument/2006/relationships/hyperlink" Target="mailto:rajesh.bandaru@capgemini.com" TargetMode="External"/><Relationship Id="rId9" Type="http://schemas.openxmlformats.org/officeDocument/2006/relationships/hyperlink" Target="mailto:muralidhara-rao.bandaru@capgemini.com" TargetMode="External"/><Relationship Id="rId14" Type="http://schemas.openxmlformats.org/officeDocument/2006/relationships/hyperlink" Target="mailto:kiran.akula@capgemini.com" TargetMode="External"/><Relationship Id="rId22" Type="http://schemas.openxmlformats.org/officeDocument/2006/relationships/hyperlink" Target="mailto:Rajesh.Bandaru@beazley.com" TargetMode="External"/><Relationship Id="rId27" Type="http://schemas.openxmlformats.org/officeDocument/2006/relationships/hyperlink" Target="mailto:Muralidhara.Bandaru@beazley.com" TargetMode="External"/><Relationship Id="rId30" Type="http://schemas.openxmlformats.org/officeDocument/2006/relationships/hyperlink" Target="mailto:Kamakshya.Mishra@beazley.com" TargetMode="External"/><Relationship Id="rId35" Type="http://schemas.openxmlformats.org/officeDocument/2006/relationships/hyperlink" Target="mailto:mannat.a.siddiqui@capgemini.com" TargetMode="External"/><Relationship Id="rId8" Type="http://schemas.openxmlformats.org/officeDocument/2006/relationships/hyperlink" Target="mailto:gourab.marik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I2" sqref="I2"/>
    </sheetView>
  </sheetViews>
  <sheetFormatPr defaultColWidth="14.42578125" defaultRowHeight="15" customHeight="1"/>
  <cols>
    <col min="1" max="1" width="20.42578125" customWidth="1"/>
    <col min="2" max="2" width="25.42578125" customWidth="1"/>
    <col min="3" max="3" width="22.140625" customWidth="1"/>
    <col min="4" max="4" width="24" customWidth="1"/>
    <col min="5" max="5" width="27.85546875" customWidth="1"/>
    <col min="6" max="6" width="14.42578125" customWidth="1"/>
    <col min="7" max="7" width="15.42578125" customWidth="1"/>
    <col min="8" max="26" width="10.8554687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t="s">
        <v>8</v>
      </c>
      <c r="C2" s="1" t="s">
        <v>9</v>
      </c>
      <c r="D2" t="s">
        <v>10</v>
      </c>
      <c r="E2" s="13">
        <v>44215</v>
      </c>
      <c r="F2" s="1" t="s">
        <v>11</v>
      </c>
      <c r="G2">
        <v>1020</v>
      </c>
      <c r="H2" s="1" t="s">
        <v>12</v>
      </c>
    </row>
    <row r="3" spans="1:8" ht="14.25" customHeight="1">
      <c r="C3" s="1"/>
      <c r="E3" s="2"/>
    </row>
    <row r="4" spans="1:8" ht="14.25" customHeight="1">
      <c r="C4" s="1"/>
      <c r="E4" s="2"/>
    </row>
    <row r="5" spans="1:8" ht="14.25" customHeight="1">
      <c r="C5" s="1"/>
      <c r="E5" s="2"/>
    </row>
    <row r="6" spans="1:8" ht="14.25" customHeight="1">
      <c r="C6" s="1"/>
      <c r="E6" s="2"/>
    </row>
    <row r="7" spans="1:8" ht="14.25" customHeight="1">
      <c r="C7" s="1"/>
      <c r="E7" s="2"/>
    </row>
    <row r="8" spans="1:8" ht="14.25" customHeight="1">
      <c r="C8" s="1"/>
      <c r="E8" s="2"/>
    </row>
    <row r="9" spans="1:8" ht="14.25" customHeight="1">
      <c r="C9" s="1"/>
      <c r="E9" s="2"/>
    </row>
    <row r="10" spans="1:8" ht="14.25" customHeight="1">
      <c r="C10" s="1"/>
      <c r="E10" s="2"/>
    </row>
    <row r="11" spans="1:8" ht="14.25" customHeight="1">
      <c r="C11" s="1"/>
      <c r="E11" s="2"/>
    </row>
    <row r="12" spans="1:8" ht="14.25" customHeight="1">
      <c r="C12" s="1"/>
      <c r="E12" s="2"/>
    </row>
    <row r="13" spans="1:8" ht="14.25" customHeight="1">
      <c r="C13" s="1"/>
      <c r="E13" s="2"/>
    </row>
    <row r="14" spans="1:8" ht="14.25" customHeight="1">
      <c r="C14" s="1"/>
      <c r="E14" s="2"/>
    </row>
    <row r="15" spans="1:8" ht="14.25" customHeight="1">
      <c r="C15" s="1"/>
      <c r="E15" s="2"/>
    </row>
    <row r="16" spans="1:8" ht="14.25" customHeight="1">
      <c r="C16" s="1"/>
      <c r="E16" s="2"/>
    </row>
    <row r="17" spans="3:5" ht="14.25" customHeight="1">
      <c r="C17" s="1"/>
      <c r="E17" s="2"/>
    </row>
    <row r="18" spans="3:5" ht="14.25" customHeight="1">
      <c r="C18" s="1"/>
      <c r="E18" s="2"/>
    </row>
    <row r="19" spans="3:5" ht="14.25" customHeight="1">
      <c r="C19" s="1"/>
      <c r="E19" s="2"/>
    </row>
    <row r="20" spans="3:5" ht="14.25" customHeight="1">
      <c r="C20" s="1"/>
      <c r="E20" s="2"/>
    </row>
    <row r="21" spans="3:5" ht="14.25" customHeight="1">
      <c r="C21" s="1"/>
      <c r="E21" s="2"/>
    </row>
    <row r="22" spans="3:5" ht="14.25" customHeight="1">
      <c r="C22" s="1"/>
      <c r="E22" s="2"/>
    </row>
    <row r="23" spans="3:5" ht="14.25" customHeight="1">
      <c r="C23" s="1"/>
      <c r="E23" s="2"/>
    </row>
    <row r="24" spans="3:5" ht="14.25" customHeight="1">
      <c r="C24" s="1"/>
      <c r="E24" s="2"/>
    </row>
    <row r="25" spans="3:5" ht="14.25" customHeight="1">
      <c r="C25" s="1"/>
      <c r="E25" s="2"/>
    </row>
    <row r="26" spans="3:5" ht="14.25" customHeight="1">
      <c r="C26" s="1"/>
      <c r="E26" s="2"/>
    </row>
    <row r="27" spans="3:5" ht="14.25" customHeight="1">
      <c r="C27" s="1"/>
      <c r="E27" s="2"/>
    </row>
    <row r="28" spans="3:5" ht="14.25" customHeight="1">
      <c r="C28" s="1"/>
      <c r="E28" s="2"/>
    </row>
    <row r="29" spans="3:5" ht="14.25" customHeight="1">
      <c r="C29" s="1"/>
      <c r="E29" s="2"/>
    </row>
    <row r="30" spans="3:5" ht="14.25" customHeight="1">
      <c r="C30" s="1"/>
      <c r="E30" s="2"/>
    </row>
    <row r="31" spans="3:5" ht="14.25" customHeight="1">
      <c r="C31" s="1"/>
      <c r="E31" s="2"/>
    </row>
    <row r="32" spans="3:5" ht="14.25" customHeight="1">
      <c r="C32" s="1"/>
      <c r="E32" s="2"/>
    </row>
    <row r="33" spans="3:5" ht="14.25" customHeight="1">
      <c r="C33" s="1"/>
      <c r="E33" s="2"/>
    </row>
    <row r="34" spans="3:5" ht="14.25" customHeight="1">
      <c r="C34" s="1"/>
      <c r="E34" s="2"/>
    </row>
    <row r="35" spans="3:5" ht="14.25" customHeight="1">
      <c r="C35" s="1"/>
      <c r="E35" s="2"/>
    </row>
    <row r="36" spans="3:5" ht="14.25" customHeight="1">
      <c r="C36" s="1"/>
      <c r="E36" s="2"/>
    </row>
    <row r="37" spans="3:5" ht="14.25" customHeight="1">
      <c r="C37" s="1"/>
      <c r="E37" s="2"/>
    </row>
    <row r="38" spans="3:5" ht="14.25" customHeight="1">
      <c r="C38" s="1"/>
      <c r="E38" s="2"/>
    </row>
    <row r="39" spans="3:5" ht="14.25" customHeight="1">
      <c r="C39" s="1"/>
      <c r="E39" s="2"/>
    </row>
    <row r="40" spans="3:5" ht="14.25" customHeight="1">
      <c r="C40" s="1"/>
      <c r="E40" s="2"/>
    </row>
    <row r="41" spans="3:5" ht="14.25" customHeight="1">
      <c r="C41" s="1"/>
      <c r="E41" s="2"/>
    </row>
    <row r="42" spans="3:5" ht="14.25" customHeight="1">
      <c r="C42" s="1"/>
      <c r="E42" s="2"/>
    </row>
    <row r="43" spans="3:5" ht="14.25" customHeight="1">
      <c r="C43" s="1"/>
      <c r="E43" s="2"/>
    </row>
    <row r="44" spans="3:5" ht="14.25" customHeight="1">
      <c r="C44" s="1"/>
      <c r="E44" s="2"/>
    </row>
    <row r="45" spans="3:5" ht="14.25" customHeight="1">
      <c r="C45" s="1"/>
      <c r="E45" s="2"/>
    </row>
    <row r="46" spans="3:5" ht="14.25" customHeight="1">
      <c r="C46" s="1"/>
      <c r="E46" s="2"/>
    </row>
    <row r="47" spans="3:5" ht="14.25" customHeight="1">
      <c r="C47" s="1"/>
      <c r="E47" s="2"/>
    </row>
    <row r="48" spans="3:5" ht="14.25" customHeight="1">
      <c r="C48" s="1"/>
      <c r="E48" s="2"/>
    </row>
    <row r="49" spans="3:5" ht="14.25" customHeight="1">
      <c r="C49" s="1"/>
      <c r="E49" s="2"/>
    </row>
    <row r="50" spans="3:5" ht="14.25" customHeight="1">
      <c r="C50" s="1"/>
      <c r="E50" s="2"/>
    </row>
    <row r="51" spans="3:5" ht="14.25" customHeight="1">
      <c r="C51" s="1"/>
      <c r="E51" s="2"/>
    </row>
    <row r="52" spans="3:5" ht="14.25" customHeight="1">
      <c r="C52" s="1"/>
      <c r="E52" s="2"/>
    </row>
    <row r="53" spans="3:5" ht="14.25" customHeight="1">
      <c r="C53" s="1"/>
      <c r="E53" s="2"/>
    </row>
    <row r="54" spans="3:5" ht="14.25" customHeight="1">
      <c r="C54" s="1"/>
      <c r="E54" s="2"/>
    </row>
    <row r="55" spans="3:5" ht="14.25" customHeight="1">
      <c r="C55" s="1"/>
      <c r="E55" s="2"/>
    </row>
    <row r="56" spans="3:5" ht="14.25" customHeight="1">
      <c r="C56" s="1"/>
      <c r="E56" s="2"/>
    </row>
    <row r="57" spans="3:5" ht="14.25" customHeight="1">
      <c r="C57" s="1"/>
      <c r="E57" s="2"/>
    </row>
    <row r="58" spans="3:5" ht="14.25" customHeight="1">
      <c r="C58" s="1"/>
      <c r="E58" s="2"/>
    </row>
    <row r="59" spans="3:5" ht="14.25" customHeight="1">
      <c r="C59" s="1"/>
      <c r="E59" s="2"/>
    </row>
    <row r="60" spans="3:5" ht="14.25" customHeight="1">
      <c r="C60" s="1"/>
      <c r="E60" s="2"/>
    </row>
    <row r="61" spans="3:5" ht="14.25" customHeight="1">
      <c r="C61" s="1"/>
      <c r="E61" s="2"/>
    </row>
    <row r="62" spans="3:5" ht="14.25" customHeight="1">
      <c r="C62" s="1"/>
      <c r="E62" s="2"/>
    </row>
    <row r="63" spans="3:5" ht="14.25" customHeight="1">
      <c r="C63" s="1"/>
      <c r="E63" s="2"/>
    </row>
    <row r="64" spans="3:5" ht="14.25" customHeight="1">
      <c r="C64" s="1"/>
      <c r="E64" s="2"/>
    </row>
    <row r="65" spans="3:5" ht="14.25" customHeight="1">
      <c r="C65" s="1"/>
      <c r="E65" s="2"/>
    </row>
    <row r="66" spans="3:5" ht="14.25" customHeight="1">
      <c r="C66" s="1"/>
      <c r="E66" s="2"/>
    </row>
    <row r="67" spans="3:5" ht="14.25" customHeight="1">
      <c r="C67" s="1"/>
      <c r="E67" s="2"/>
    </row>
    <row r="68" spans="3:5" ht="14.25" customHeight="1">
      <c r="C68" s="1"/>
      <c r="E68" s="2"/>
    </row>
    <row r="69" spans="3:5" ht="14.25" customHeight="1">
      <c r="C69" s="1"/>
      <c r="E69" s="2"/>
    </row>
    <row r="70" spans="3:5" ht="14.25" customHeight="1">
      <c r="C70" s="1"/>
      <c r="E70" s="2"/>
    </row>
    <row r="71" spans="3:5" ht="14.25" customHeight="1">
      <c r="C71" s="1"/>
      <c r="E71" s="2"/>
    </row>
    <row r="72" spans="3:5" ht="14.25" customHeight="1">
      <c r="C72" s="1"/>
      <c r="E72" s="2"/>
    </row>
    <row r="73" spans="3:5" ht="14.25" customHeight="1">
      <c r="C73" s="1"/>
      <c r="E73" s="2"/>
    </row>
    <row r="74" spans="3:5" ht="14.25" customHeight="1">
      <c r="C74" s="1"/>
      <c r="E74" s="2"/>
    </row>
    <row r="75" spans="3:5" ht="14.25" customHeight="1">
      <c r="C75" s="1"/>
      <c r="E75" s="2"/>
    </row>
    <row r="76" spans="3:5" ht="14.25" customHeight="1">
      <c r="C76" s="1"/>
      <c r="E76" s="2"/>
    </row>
    <row r="77" spans="3:5" ht="14.25" customHeight="1">
      <c r="C77" s="1"/>
      <c r="E77" s="2"/>
    </row>
    <row r="78" spans="3:5" ht="14.25" customHeight="1">
      <c r="C78" s="1"/>
      <c r="E78" s="2"/>
    </row>
    <row r="79" spans="3:5" ht="14.25" customHeight="1">
      <c r="C79" s="1"/>
      <c r="E79" s="2"/>
    </row>
    <row r="80" spans="3:5" ht="14.25" customHeight="1">
      <c r="C80" s="1"/>
      <c r="E80" s="2"/>
    </row>
    <row r="81" spans="3:5" ht="14.25" customHeight="1">
      <c r="C81" s="1"/>
      <c r="E81" s="2"/>
    </row>
    <row r="82" spans="3:5" ht="14.25" customHeight="1">
      <c r="C82" s="1"/>
      <c r="E82" s="2"/>
    </row>
    <row r="83" spans="3:5" ht="14.25" customHeight="1">
      <c r="C83" s="1"/>
      <c r="E83" s="2"/>
    </row>
    <row r="84" spans="3:5" ht="14.25" customHeight="1">
      <c r="C84" s="1"/>
      <c r="E84" s="2"/>
    </row>
    <row r="85" spans="3:5" ht="14.25" customHeight="1">
      <c r="C85" s="1"/>
      <c r="E85" s="2"/>
    </row>
    <row r="86" spans="3:5" ht="14.25" customHeight="1">
      <c r="C86" s="1"/>
      <c r="E86" s="2"/>
    </row>
    <row r="87" spans="3:5" ht="14.25" customHeight="1">
      <c r="C87" s="1"/>
      <c r="E87" s="2"/>
    </row>
    <row r="88" spans="3:5" ht="14.25" customHeight="1">
      <c r="C88" s="1"/>
      <c r="E88" s="2"/>
    </row>
    <row r="89" spans="3:5" ht="14.25" customHeight="1">
      <c r="C89" s="1"/>
      <c r="E89" s="2"/>
    </row>
    <row r="90" spans="3:5" ht="14.25" customHeight="1">
      <c r="C90" s="1"/>
      <c r="E90" s="2"/>
    </row>
    <row r="91" spans="3:5" ht="14.25" customHeight="1">
      <c r="C91" s="1"/>
      <c r="E91" s="2"/>
    </row>
    <row r="92" spans="3:5" ht="14.25" customHeight="1">
      <c r="C92" s="1"/>
      <c r="E92" s="2"/>
    </row>
    <row r="93" spans="3:5" ht="14.25" customHeight="1">
      <c r="C93" s="1"/>
      <c r="E93" s="2"/>
    </row>
    <row r="94" spans="3:5" ht="14.25" customHeight="1">
      <c r="C94" s="1"/>
      <c r="E94" s="2"/>
    </row>
    <row r="95" spans="3:5" ht="14.25" customHeight="1">
      <c r="C95" s="1"/>
      <c r="E95" s="2"/>
    </row>
    <row r="96" spans="3:5" ht="14.25" customHeight="1">
      <c r="C96" s="1"/>
      <c r="E96" s="2"/>
    </row>
    <row r="97" spans="3:5" ht="14.25" customHeight="1">
      <c r="C97" s="1"/>
      <c r="E97" s="2"/>
    </row>
    <row r="98" spans="3:5" ht="14.25" customHeight="1">
      <c r="C98" s="1"/>
      <c r="E98" s="2"/>
    </row>
    <row r="99" spans="3:5" ht="14.25" customHeight="1">
      <c r="C99" s="1"/>
      <c r="E99" s="2"/>
    </row>
    <row r="100" spans="3:5" ht="14.25" customHeight="1">
      <c r="C100" s="1"/>
      <c r="E100" s="2"/>
    </row>
    <row r="101" spans="3:5" ht="14.25" customHeight="1">
      <c r="C101" s="1"/>
      <c r="E101" s="2"/>
    </row>
    <row r="102" spans="3:5" ht="14.25" customHeight="1">
      <c r="C102" s="1"/>
      <c r="E102" s="2"/>
    </row>
    <row r="103" spans="3:5" ht="14.25" customHeight="1">
      <c r="C103" s="1"/>
      <c r="E103" s="2"/>
    </row>
    <row r="104" spans="3:5" ht="14.25" customHeight="1">
      <c r="C104" s="1"/>
      <c r="E104" s="2"/>
    </row>
    <row r="105" spans="3:5" ht="14.25" customHeight="1">
      <c r="C105" s="1"/>
      <c r="E105" s="2"/>
    </row>
    <row r="106" spans="3:5" ht="14.25" customHeight="1">
      <c r="C106" s="1"/>
      <c r="E106" s="2"/>
    </row>
    <row r="107" spans="3:5" ht="14.25" customHeight="1">
      <c r="C107" s="1"/>
      <c r="E107" s="2"/>
    </row>
    <row r="108" spans="3:5" ht="14.25" customHeight="1">
      <c r="C108" s="1"/>
      <c r="E108" s="2"/>
    </row>
    <row r="109" spans="3:5" ht="14.25" customHeight="1">
      <c r="C109" s="1"/>
      <c r="E109" s="2"/>
    </row>
    <row r="110" spans="3:5" ht="14.25" customHeight="1">
      <c r="C110" s="1"/>
      <c r="E110" s="2"/>
    </row>
    <row r="111" spans="3:5" ht="14.25" customHeight="1">
      <c r="C111" s="1"/>
      <c r="E111" s="2"/>
    </row>
    <row r="112" spans="3:5" ht="14.25" customHeight="1">
      <c r="C112" s="1"/>
      <c r="E112" s="2"/>
    </row>
    <row r="113" spans="3:5" ht="14.25" customHeight="1">
      <c r="C113" s="1"/>
      <c r="E113" s="2"/>
    </row>
    <row r="114" spans="3:5" ht="14.25" customHeight="1">
      <c r="C114" s="1"/>
      <c r="E114" s="2"/>
    </row>
    <row r="115" spans="3:5" ht="14.25" customHeight="1">
      <c r="C115" s="1"/>
      <c r="E115" s="2"/>
    </row>
    <row r="116" spans="3:5" ht="14.25" customHeight="1">
      <c r="C116" s="1"/>
      <c r="E116" s="2"/>
    </row>
    <row r="117" spans="3:5" ht="14.25" customHeight="1">
      <c r="C117" s="1"/>
      <c r="E117" s="2"/>
    </row>
    <row r="118" spans="3:5" ht="14.25" customHeight="1">
      <c r="C118" s="1"/>
      <c r="E118" s="2"/>
    </row>
    <row r="119" spans="3:5" ht="14.25" customHeight="1">
      <c r="C119" s="1"/>
      <c r="E119" s="2"/>
    </row>
    <row r="120" spans="3:5" ht="14.25" customHeight="1">
      <c r="C120" s="1"/>
      <c r="E120" s="2"/>
    </row>
    <row r="121" spans="3:5" ht="14.25" customHeight="1">
      <c r="C121" s="1"/>
      <c r="E121" s="2"/>
    </row>
    <row r="122" spans="3:5" ht="14.25" customHeight="1">
      <c r="C122" s="1"/>
      <c r="E122" s="2"/>
    </row>
    <row r="123" spans="3:5" ht="14.25" customHeight="1">
      <c r="C123" s="1"/>
      <c r="E123" s="2"/>
    </row>
    <row r="124" spans="3:5" ht="14.25" customHeight="1">
      <c r="C124" s="1"/>
      <c r="E124" s="2"/>
    </row>
    <row r="125" spans="3:5" ht="14.25" customHeight="1">
      <c r="C125" s="1"/>
      <c r="E125" s="2"/>
    </row>
    <row r="126" spans="3:5" ht="14.25" customHeight="1">
      <c r="C126" s="1"/>
      <c r="E126" s="2"/>
    </row>
    <row r="127" spans="3:5" ht="14.25" customHeight="1">
      <c r="C127" s="1"/>
      <c r="E127" s="2"/>
    </row>
    <row r="128" spans="3:5" ht="14.25" customHeight="1">
      <c r="C128" s="1"/>
      <c r="E128" s="2"/>
    </row>
    <row r="129" spans="3:5" ht="14.25" customHeight="1">
      <c r="C129" s="1"/>
      <c r="E129" s="2"/>
    </row>
    <row r="130" spans="3:5" ht="14.25" customHeight="1">
      <c r="C130" s="1"/>
      <c r="E130" s="2"/>
    </row>
    <row r="131" spans="3:5" ht="14.25" customHeight="1">
      <c r="C131" s="1"/>
      <c r="E131" s="2"/>
    </row>
    <row r="132" spans="3:5" ht="14.25" customHeight="1">
      <c r="C132" s="1"/>
      <c r="E132" s="2"/>
    </row>
    <row r="133" spans="3:5" ht="14.25" customHeight="1">
      <c r="C133" s="1"/>
      <c r="E133" s="2"/>
    </row>
    <row r="134" spans="3:5" ht="14.25" customHeight="1">
      <c r="C134" s="1"/>
      <c r="E134" s="2"/>
    </row>
    <row r="135" spans="3:5" ht="14.25" customHeight="1">
      <c r="C135" s="1"/>
      <c r="E135" s="2"/>
    </row>
    <row r="136" spans="3:5" ht="14.25" customHeight="1">
      <c r="C136" s="1"/>
      <c r="E136" s="2"/>
    </row>
    <row r="137" spans="3:5" ht="14.25" customHeight="1">
      <c r="C137" s="1"/>
      <c r="E137" s="2"/>
    </row>
    <row r="138" spans="3:5" ht="14.25" customHeight="1">
      <c r="C138" s="1"/>
      <c r="E138" s="2"/>
    </row>
    <row r="139" spans="3:5" ht="14.25" customHeight="1">
      <c r="C139" s="1"/>
      <c r="E139" s="2"/>
    </row>
    <row r="140" spans="3:5" ht="14.25" customHeight="1">
      <c r="C140" s="1"/>
      <c r="E140" s="2"/>
    </row>
    <row r="141" spans="3:5" ht="14.25" customHeight="1">
      <c r="C141" s="1"/>
      <c r="E141" s="2"/>
    </row>
    <row r="142" spans="3:5" ht="14.25" customHeight="1">
      <c r="C142" s="1"/>
      <c r="E142" s="2"/>
    </row>
    <row r="143" spans="3:5" ht="14.25" customHeight="1">
      <c r="C143" s="1"/>
      <c r="E143" s="2"/>
    </row>
    <row r="144" spans="3:5" ht="14.25" customHeight="1">
      <c r="C144" s="1"/>
      <c r="E144" s="2"/>
    </row>
    <row r="145" spans="3:5" ht="14.25" customHeight="1">
      <c r="C145" s="1"/>
      <c r="E145" s="2"/>
    </row>
    <row r="146" spans="3:5" ht="14.25" customHeight="1">
      <c r="C146" s="1"/>
      <c r="E146" s="2"/>
    </row>
    <row r="147" spans="3:5" ht="14.25" customHeight="1">
      <c r="C147" s="1"/>
      <c r="E147" s="2"/>
    </row>
    <row r="148" spans="3:5" ht="14.25" customHeight="1">
      <c r="C148" s="1"/>
      <c r="E148" s="2"/>
    </row>
    <row r="149" spans="3:5" ht="14.25" customHeight="1">
      <c r="C149" s="1"/>
      <c r="E149" s="2"/>
    </row>
    <row r="150" spans="3:5" ht="14.25" customHeight="1">
      <c r="C150" s="1"/>
      <c r="E150" s="2"/>
    </row>
    <row r="151" spans="3:5" ht="14.25" customHeight="1">
      <c r="C151" s="1"/>
      <c r="E151" s="2"/>
    </row>
    <row r="152" spans="3:5" ht="14.25" customHeight="1">
      <c r="C152" s="1"/>
      <c r="E152" s="2"/>
    </row>
    <row r="153" spans="3:5" ht="14.25" customHeight="1">
      <c r="C153" s="1"/>
      <c r="E153" s="2"/>
    </row>
    <row r="154" spans="3:5" ht="14.25" customHeight="1">
      <c r="C154" s="1"/>
      <c r="E154" s="2"/>
    </row>
    <row r="155" spans="3:5" ht="14.25" customHeight="1">
      <c r="C155" s="1"/>
      <c r="E155" s="2"/>
    </row>
    <row r="156" spans="3:5" ht="14.25" customHeight="1">
      <c r="C156" s="1"/>
      <c r="E156" s="2"/>
    </row>
    <row r="157" spans="3:5" ht="14.25" customHeight="1">
      <c r="C157" s="1"/>
      <c r="E157" s="2"/>
    </row>
    <row r="158" spans="3:5" ht="14.25" customHeight="1">
      <c r="C158" s="1"/>
      <c r="E158" s="2"/>
    </row>
    <row r="159" spans="3:5" ht="14.25" customHeight="1">
      <c r="C159" s="1"/>
      <c r="E159" s="2"/>
    </row>
    <row r="160" spans="3:5" ht="14.25" customHeight="1">
      <c r="C160" s="1"/>
      <c r="E160" s="2"/>
    </row>
    <row r="161" spans="3:5" ht="14.25" customHeight="1">
      <c r="C161" s="1"/>
      <c r="E161" s="2"/>
    </row>
    <row r="162" spans="3:5" ht="14.25" customHeight="1">
      <c r="C162" s="1"/>
      <c r="E162" s="2"/>
    </row>
    <row r="163" spans="3:5" ht="14.25" customHeight="1">
      <c r="C163" s="1"/>
      <c r="E163" s="2"/>
    </row>
    <row r="164" spans="3:5" ht="14.25" customHeight="1">
      <c r="C164" s="1"/>
      <c r="E164" s="2"/>
    </row>
    <row r="165" spans="3:5" ht="14.25" customHeight="1">
      <c r="C165" s="1"/>
      <c r="E165" s="2"/>
    </row>
    <row r="166" spans="3:5" ht="14.25" customHeight="1">
      <c r="C166" s="1"/>
      <c r="E166" s="2"/>
    </row>
    <row r="167" spans="3:5" ht="14.25" customHeight="1">
      <c r="C167" s="1"/>
      <c r="E167" s="2"/>
    </row>
    <row r="168" spans="3:5" ht="14.25" customHeight="1">
      <c r="C168" s="1"/>
      <c r="E168" s="2"/>
    </row>
    <row r="169" spans="3:5" ht="14.25" customHeight="1">
      <c r="C169" s="1"/>
      <c r="E169" s="2"/>
    </row>
    <row r="170" spans="3:5" ht="14.25" customHeight="1">
      <c r="C170" s="1"/>
      <c r="E170" s="2"/>
    </row>
    <row r="171" spans="3:5" ht="14.25" customHeight="1">
      <c r="C171" s="1"/>
      <c r="E171" s="2"/>
    </row>
    <row r="172" spans="3:5" ht="14.25" customHeight="1">
      <c r="C172" s="1"/>
      <c r="E172" s="2"/>
    </row>
    <row r="173" spans="3:5" ht="14.25" customHeight="1">
      <c r="C173" s="1"/>
      <c r="E173" s="2"/>
    </row>
    <row r="174" spans="3:5" ht="14.25" customHeight="1">
      <c r="C174" s="1"/>
      <c r="E174" s="2"/>
    </row>
    <row r="175" spans="3:5" ht="14.25" customHeight="1">
      <c r="C175" s="1"/>
      <c r="E175" s="2"/>
    </row>
    <row r="176" spans="3:5" ht="14.25" customHeight="1">
      <c r="C176" s="1"/>
      <c r="E176" s="2"/>
    </row>
    <row r="177" spans="3:5" ht="14.25" customHeight="1">
      <c r="C177" s="1"/>
      <c r="E177" s="2"/>
    </row>
    <row r="178" spans="3:5" ht="14.25" customHeight="1">
      <c r="C178" s="1"/>
      <c r="E178" s="2"/>
    </row>
    <row r="179" spans="3:5" ht="14.25" customHeight="1">
      <c r="C179" s="1"/>
      <c r="E179" s="2"/>
    </row>
    <row r="180" spans="3:5" ht="14.25" customHeight="1">
      <c r="C180" s="1"/>
      <c r="E180" s="2"/>
    </row>
    <row r="181" spans="3:5" ht="14.25" customHeight="1">
      <c r="C181" s="1"/>
      <c r="E181" s="2"/>
    </row>
    <row r="182" spans="3:5" ht="14.25" customHeight="1">
      <c r="C182" s="1"/>
      <c r="E182" s="2"/>
    </row>
    <row r="183" spans="3:5" ht="14.25" customHeight="1">
      <c r="C183" s="1"/>
      <c r="E183" s="2"/>
    </row>
    <row r="184" spans="3:5" ht="14.25" customHeight="1">
      <c r="C184" s="1"/>
      <c r="E184" s="2"/>
    </row>
    <row r="185" spans="3:5" ht="14.25" customHeight="1">
      <c r="C185" s="1"/>
      <c r="E185" s="2"/>
    </row>
    <row r="186" spans="3:5" ht="14.25" customHeight="1">
      <c r="C186" s="1"/>
      <c r="E186" s="2"/>
    </row>
    <row r="187" spans="3:5" ht="14.25" customHeight="1">
      <c r="C187" s="1"/>
      <c r="E187" s="2"/>
    </row>
    <row r="188" spans="3:5" ht="14.25" customHeight="1">
      <c r="C188" s="1"/>
      <c r="E188" s="2"/>
    </row>
    <row r="189" spans="3:5" ht="14.25" customHeight="1">
      <c r="C189" s="1"/>
      <c r="E189" s="2"/>
    </row>
    <row r="190" spans="3:5" ht="14.25" customHeight="1">
      <c r="C190" s="1"/>
      <c r="E190" s="2"/>
    </row>
    <row r="191" spans="3:5" ht="14.25" customHeight="1">
      <c r="C191" s="1"/>
      <c r="E191" s="2"/>
    </row>
    <row r="192" spans="3:5" ht="14.25" customHeight="1">
      <c r="C192" s="1"/>
      <c r="E192" s="2"/>
    </row>
    <row r="193" spans="3:5" ht="14.25" customHeight="1">
      <c r="C193" s="1"/>
      <c r="E193" s="2"/>
    </row>
    <row r="194" spans="3:5" ht="14.25" customHeight="1">
      <c r="C194" s="1"/>
      <c r="E194" s="2"/>
    </row>
    <row r="195" spans="3:5" ht="14.25" customHeight="1">
      <c r="C195" s="1"/>
      <c r="E195" s="2"/>
    </row>
    <row r="196" spans="3:5" ht="14.25" customHeight="1">
      <c r="C196" s="1"/>
      <c r="E196" s="2"/>
    </row>
    <row r="197" spans="3:5" ht="14.25" customHeight="1">
      <c r="C197" s="1"/>
      <c r="E197" s="2"/>
    </row>
    <row r="198" spans="3:5" ht="14.25" customHeight="1">
      <c r="C198" s="1"/>
      <c r="E198" s="2"/>
    </row>
    <row r="199" spans="3:5" ht="14.25" customHeight="1">
      <c r="C199" s="1"/>
      <c r="E199" s="2"/>
    </row>
    <row r="200" spans="3:5" ht="14.25" customHeight="1">
      <c r="C200" s="1"/>
      <c r="E200" s="2"/>
    </row>
    <row r="201" spans="3:5" ht="14.25" customHeight="1">
      <c r="C201" s="1"/>
      <c r="E201" s="2"/>
    </row>
    <row r="202" spans="3:5" ht="14.25" customHeight="1">
      <c r="C202" s="1"/>
      <c r="E202" s="2"/>
    </row>
    <row r="203" spans="3:5" ht="14.25" customHeight="1">
      <c r="C203" s="1"/>
      <c r="E203" s="2"/>
    </row>
    <row r="204" spans="3:5" ht="14.25" customHeight="1">
      <c r="C204" s="1"/>
      <c r="E204" s="2"/>
    </row>
    <row r="205" spans="3:5" ht="14.25" customHeight="1">
      <c r="C205" s="1"/>
      <c r="E205" s="2"/>
    </row>
    <row r="206" spans="3:5" ht="14.25" customHeight="1">
      <c r="C206" s="1"/>
      <c r="E206" s="2"/>
    </row>
    <row r="207" spans="3:5" ht="14.25" customHeight="1">
      <c r="C207" s="1"/>
      <c r="E207" s="2"/>
    </row>
    <row r="208" spans="3:5" ht="14.25" customHeight="1">
      <c r="C208" s="1"/>
      <c r="E208" s="2"/>
    </row>
    <row r="209" spans="3:5" ht="14.25" customHeight="1">
      <c r="C209" s="1"/>
      <c r="E209" s="2"/>
    </row>
    <row r="210" spans="3:5" ht="14.25" customHeight="1">
      <c r="C210" s="1"/>
      <c r="E210" s="2"/>
    </row>
    <row r="211" spans="3:5" ht="14.25" customHeight="1">
      <c r="C211" s="1"/>
      <c r="E211" s="2"/>
    </row>
    <row r="212" spans="3:5" ht="14.25" customHeight="1">
      <c r="C212" s="1"/>
      <c r="E212" s="2"/>
    </row>
    <row r="213" spans="3:5" ht="14.25" customHeight="1">
      <c r="C213" s="1"/>
      <c r="E213" s="2"/>
    </row>
    <row r="214" spans="3:5" ht="14.25" customHeight="1">
      <c r="C214" s="1"/>
      <c r="E214" s="2"/>
    </row>
    <row r="215" spans="3:5" ht="14.25" customHeight="1">
      <c r="C215" s="1"/>
      <c r="E215" s="2"/>
    </row>
    <row r="216" spans="3:5" ht="14.25" customHeight="1">
      <c r="C216" s="1"/>
      <c r="E216" s="2"/>
    </row>
    <row r="217" spans="3:5" ht="14.25" customHeight="1">
      <c r="C217" s="1"/>
      <c r="E217" s="2"/>
    </row>
    <row r="218" spans="3:5" ht="14.25" customHeight="1">
      <c r="C218" s="1"/>
      <c r="E218" s="2"/>
    </row>
    <row r="219" spans="3:5" ht="14.25" customHeight="1">
      <c r="C219" s="1"/>
      <c r="E219" s="2"/>
    </row>
    <row r="220" spans="3:5" ht="14.25" customHeight="1">
      <c r="C220" s="1"/>
      <c r="E220" s="2"/>
    </row>
    <row r="221" spans="3:5" ht="14.25" customHeight="1">
      <c r="C221" s="1"/>
      <c r="E221" s="2"/>
    </row>
    <row r="222" spans="3:5" ht="14.25" customHeight="1">
      <c r="C222" s="1"/>
      <c r="E222" s="2"/>
    </row>
    <row r="223" spans="3:5" ht="14.25" customHeight="1">
      <c r="C223" s="1"/>
      <c r="E223" s="2"/>
    </row>
    <row r="224" spans="3:5" ht="14.25" customHeight="1">
      <c r="C224" s="1"/>
      <c r="E224" s="2"/>
    </row>
    <row r="225" spans="3:5" ht="14.25" customHeight="1">
      <c r="C225" s="1"/>
      <c r="E225" s="2"/>
    </row>
    <row r="226" spans="3:5" ht="14.25" customHeight="1">
      <c r="C226" s="1"/>
      <c r="E226" s="2"/>
    </row>
    <row r="227" spans="3:5" ht="14.25" customHeight="1">
      <c r="C227" s="1"/>
      <c r="E227" s="2"/>
    </row>
    <row r="228" spans="3:5" ht="14.25" customHeight="1">
      <c r="C228" s="1"/>
      <c r="E228" s="2"/>
    </row>
    <row r="229" spans="3:5" ht="14.25" customHeight="1">
      <c r="C229" s="1"/>
      <c r="E229" s="2"/>
    </row>
    <row r="230" spans="3:5" ht="14.25" customHeight="1">
      <c r="C230" s="1"/>
      <c r="E230" s="2"/>
    </row>
    <row r="231" spans="3:5" ht="14.25" customHeight="1">
      <c r="C231" s="1"/>
      <c r="E231" s="2"/>
    </row>
    <row r="232" spans="3:5" ht="14.25" customHeight="1">
      <c r="C232" s="1"/>
      <c r="E232" s="2"/>
    </row>
    <row r="233" spans="3:5" ht="14.25" customHeight="1">
      <c r="C233" s="1"/>
      <c r="E233" s="2"/>
    </row>
    <row r="234" spans="3:5" ht="14.25" customHeight="1">
      <c r="C234" s="1"/>
      <c r="E234" s="2"/>
    </row>
    <row r="235" spans="3:5" ht="14.25" customHeight="1">
      <c r="C235" s="1"/>
      <c r="E235" s="2"/>
    </row>
    <row r="236" spans="3:5" ht="14.25" customHeight="1">
      <c r="C236" s="1"/>
      <c r="E236" s="2"/>
    </row>
    <row r="237" spans="3:5" ht="14.25" customHeight="1">
      <c r="C237" s="1"/>
      <c r="E237" s="2"/>
    </row>
    <row r="238" spans="3:5" ht="14.25" customHeight="1">
      <c r="C238" s="1"/>
      <c r="E238" s="2"/>
    </row>
    <row r="239" spans="3:5" ht="14.25" customHeight="1">
      <c r="C239" s="1"/>
      <c r="E239" s="2"/>
    </row>
    <row r="240" spans="3:5" ht="14.25" customHeight="1">
      <c r="C240" s="1"/>
      <c r="E240" s="2"/>
    </row>
    <row r="241" spans="3:5" ht="14.25" customHeight="1">
      <c r="C241" s="1"/>
      <c r="E241" s="2"/>
    </row>
    <row r="242" spans="3:5" ht="14.25" customHeight="1">
      <c r="C242" s="1"/>
      <c r="E242" s="2"/>
    </row>
    <row r="243" spans="3:5" ht="14.25" customHeight="1">
      <c r="C243" s="1"/>
      <c r="E243" s="2"/>
    </row>
    <row r="244" spans="3:5" ht="14.25" customHeight="1">
      <c r="C244" s="1"/>
      <c r="E244" s="2"/>
    </row>
    <row r="245" spans="3:5" ht="14.25" customHeight="1">
      <c r="C245" s="1"/>
      <c r="E245" s="2"/>
    </row>
    <row r="246" spans="3:5" ht="14.25" customHeight="1">
      <c r="C246" s="1"/>
      <c r="E246" s="2"/>
    </row>
    <row r="247" spans="3:5" ht="14.25" customHeight="1">
      <c r="C247" s="1"/>
      <c r="E247" s="2"/>
    </row>
    <row r="248" spans="3:5" ht="14.25" customHeight="1">
      <c r="C248" s="1"/>
      <c r="E248" s="2"/>
    </row>
    <row r="249" spans="3:5" ht="14.25" customHeight="1">
      <c r="C249" s="1"/>
      <c r="E249" s="2"/>
    </row>
    <row r="250" spans="3:5" ht="14.25" customHeight="1">
      <c r="C250" s="1"/>
      <c r="E250" s="2"/>
    </row>
    <row r="251" spans="3:5" ht="14.25" customHeight="1">
      <c r="C251" s="1"/>
      <c r="E251" s="2"/>
    </row>
    <row r="252" spans="3:5" ht="14.25" customHeight="1">
      <c r="C252" s="1"/>
      <c r="E252" s="2"/>
    </row>
    <row r="253" spans="3:5" ht="14.25" customHeight="1">
      <c r="C253" s="1"/>
      <c r="E253" s="2"/>
    </row>
    <row r="254" spans="3:5" ht="14.25" customHeight="1">
      <c r="C254" s="1"/>
      <c r="E254" s="2"/>
    </row>
    <row r="255" spans="3:5" ht="14.25" customHeight="1">
      <c r="C255" s="1"/>
      <c r="E255" s="2"/>
    </row>
    <row r="256" spans="3:5" ht="14.25" customHeight="1">
      <c r="C256" s="1"/>
      <c r="E256" s="2"/>
    </row>
    <row r="257" spans="3:5" ht="14.25" customHeight="1">
      <c r="C257" s="1"/>
      <c r="E257" s="2"/>
    </row>
    <row r="258" spans="3:5" ht="14.25" customHeight="1">
      <c r="C258" s="1"/>
      <c r="E258" s="2"/>
    </row>
    <row r="259" spans="3:5" ht="14.25" customHeight="1">
      <c r="C259" s="1"/>
      <c r="E259" s="2"/>
    </row>
    <row r="260" spans="3:5" ht="14.25" customHeight="1">
      <c r="C260" s="1"/>
      <c r="E260" s="2"/>
    </row>
    <row r="261" spans="3:5" ht="14.25" customHeight="1">
      <c r="C261" s="1"/>
      <c r="E261" s="2"/>
    </row>
    <row r="262" spans="3:5" ht="14.25" customHeight="1">
      <c r="C262" s="1"/>
      <c r="E262" s="2"/>
    </row>
    <row r="263" spans="3:5" ht="14.25" customHeight="1">
      <c r="C263" s="1"/>
      <c r="E263" s="2"/>
    </row>
    <row r="264" spans="3:5" ht="14.25" customHeight="1">
      <c r="C264" s="1"/>
      <c r="E264" s="2"/>
    </row>
    <row r="265" spans="3:5" ht="14.25" customHeight="1">
      <c r="C265" s="1"/>
      <c r="E265" s="2"/>
    </row>
    <row r="266" spans="3:5" ht="14.25" customHeight="1">
      <c r="C266" s="1"/>
      <c r="E266" s="2"/>
    </row>
    <row r="267" spans="3:5" ht="14.25" customHeight="1">
      <c r="C267" s="1"/>
      <c r="E267" s="2"/>
    </row>
    <row r="268" spans="3:5" ht="14.25" customHeight="1">
      <c r="C268" s="1"/>
      <c r="E268" s="2"/>
    </row>
    <row r="269" spans="3:5" ht="14.25" customHeight="1">
      <c r="C269" s="1"/>
      <c r="E269" s="2"/>
    </row>
    <row r="270" spans="3:5" ht="14.25" customHeight="1">
      <c r="C270" s="1"/>
      <c r="E270" s="2"/>
    </row>
    <row r="271" spans="3:5" ht="14.25" customHeight="1">
      <c r="C271" s="1"/>
      <c r="E271" s="2"/>
    </row>
    <row r="272" spans="3:5" ht="14.25" customHeight="1">
      <c r="C272" s="1"/>
      <c r="E272" s="2"/>
    </row>
    <row r="273" spans="3:5" ht="14.25" customHeight="1">
      <c r="C273" s="1"/>
      <c r="E273" s="2"/>
    </row>
    <row r="274" spans="3:5" ht="14.25" customHeight="1">
      <c r="C274" s="1"/>
      <c r="E274" s="2"/>
    </row>
    <row r="275" spans="3:5" ht="14.25" customHeight="1">
      <c r="C275" s="1"/>
      <c r="E275" s="2"/>
    </row>
    <row r="276" spans="3:5" ht="14.25" customHeight="1">
      <c r="C276" s="1"/>
      <c r="E276" s="2"/>
    </row>
    <row r="277" spans="3:5" ht="14.25" customHeight="1">
      <c r="C277" s="1"/>
      <c r="E277" s="2"/>
    </row>
    <row r="278" spans="3:5" ht="14.25" customHeight="1">
      <c r="C278" s="1"/>
      <c r="E278" s="2"/>
    </row>
    <row r="279" spans="3:5" ht="14.25" customHeight="1">
      <c r="C279" s="1"/>
      <c r="E279" s="2"/>
    </row>
    <row r="280" spans="3:5" ht="14.25" customHeight="1">
      <c r="C280" s="1"/>
      <c r="E280" s="2"/>
    </row>
    <row r="281" spans="3:5" ht="14.25" customHeight="1">
      <c r="C281" s="1"/>
      <c r="E281" s="2"/>
    </row>
    <row r="282" spans="3:5" ht="14.25" customHeight="1">
      <c r="C282" s="1"/>
      <c r="E282" s="2"/>
    </row>
    <row r="283" spans="3:5" ht="14.25" customHeight="1">
      <c r="C283" s="1"/>
      <c r="E283" s="2"/>
    </row>
    <row r="284" spans="3:5" ht="14.25" customHeight="1">
      <c r="C284" s="1"/>
      <c r="E284" s="2"/>
    </row>
    <row r="285" spans="3:5" ht="14.25" customHeight="1">
      <c r="C285" s="1"/>
      <c r="E285" s="2"/>
    </row>
    <row r="286" spans="3:5" ht="14.25" customHeight="1">
      <c r="C286" s="1"/>
      <c r="E286" s="2"/>
    </row>
    <row r="287" spans="3:5" ht="14.25" customHeight="1">
      <c r="C287" s="1"/>
      <c r="E287" s="2"/>
    </row>
    <row r="288" spans="3:5" ht="14.25" customHeight="1">
      <c r="C288" s="1"/>
      <c r="E288" s="2"/>
    </row>
    <row r="289" spans="3:5" ht="14.25" customHeight="1">
      <c r="C289" s="1"/>
      <c r="E289" s="2"/>
    </row>
    <row r="290" spans="3:5" ht="14.25" customHeight="1">
      <c r="C290" s="1"/>
      <c r="E290" s="2"/>
    </row>
    <row r="291" spans="3:5" ht="14.25" customHeight="1">
      <c r="C291" s="1"/>
      <c r="E291" s="2"/>
    </row>
    <row r="292" spans="3:5" ht="14.25" customHeight="1">
      <c r="C292" s="1"/>
      <c r="E292" s="2"/>
    </row>
    <row r="293" spans="3:5" ht="14.25" customHeight="1">
      <c r="C293" s="1"/>
      <c r="E293" s="2"/>
    </row>
    <row r="294" spans="3:5" ht="14.25" customHeight="1">
      <c r="C294" s="1"/>
      <c r="E294" s="2"/>
    </row>
    <row r="295" spans="3:5" ht="14.25" customHeight="1">
      <c r="C295" s="1"/>
      <c r="E295" s="2"/>
    </row>
    <row r="296" spans="3:5" ht="14.25" customHeight="1">
      <c r="C296" s="1"/>
      <c r="E296" s="2"/>
    </row>
    <row r="297" spans="3:5" ht="14.25" customHeight="1">
      <c r="C297" s="1"/>
      <c r="E297" s="2"/>
    </row>
    <row r="298" spans="3:5" ht="14.25" customHeight="1">
      <c r="C298" s="1"/>
      <c r="E298" s="2"/>
    </row>
    <row r="299" spans="3:5" ht="14.25" customHeight="1">
      <c r="C299" s="1"/>
      <c r="E299" s="2"/>
    </row>
    <row r="300" spans="3:5" ht="14.25" customHeight="1">
      <c r="C300" s="1"/>
      <c r="E300" s="2"/>
    </row>
    <row r="301" spans="3:5" ht="14.25" customHeight="1">
      <c r="C301" s="1"/>
      <c r="E301" s="2"/>
    </row>
    <row r="302" spans="3:5" ht="14.25" customHeight="1">
      <c r="C302" s="1"/>
      <c r="E302" s="2"/>
    </row>
    <row r="303" spans="3:5" ht="14.25" customHeight="1">
      <c r="C303" s="1"/>
      <c r="E303" s="2"/>
    </row>
    <row r="304" spans="3:5" ht="14.25" customHeight="1">
      <c r="C304" s="1"/>
      <c r="E304" s="2"/>
    </row>
    <row r="305" spans="3:5" ht="14.25" customHeight="1">
      <c r="C305" s="1"/>
      <c r="E305" s="2"/>
    </row>
    <row r="306" spans="3:5" ht="14.25" customHeight="1">
      <c r="C306" s="1"/>
      <c r="E306" s="2"/>
    </row>
    <row r="307" spans="3:5" ht="14.25" customHeight="1">
      <c r="C307" s="1"/>
      <c r="E307" s="2"/>
    </row>
    <row r="308" spans="3:5" ht="14.25" customHeight="1">
      <c r="C308" s="1"/>
      <c r="E308" s="2"/>
    </row>
    <row r="309" spans="3:5" ht="14.25" customHeight="1">
      <c r="C309" s="1"/>
      <c r="E309" s="2"/>
    </row>
    <row r="310" spans="3:5" ht="14.25" customHeight="1">
      <c r="C310" s="1"/>
      <c r="E310" s="2"/>
    </row>
    <row r="311" spans="3:5" ht="14.25" customHeight="1">
      <c r="C311" s="1"/>
      <c r="E311" s="2"/>
    </row>
    <row r="312" spans="3:5" ht="14.25" customHeight="1">
      <c r="C312" s="1"/>
      <c r="E312" s="2"/>
    </row>
    <row r="313" spans="3:5" ht="14.25" customHeight="1">
      <c r="C313" s="1"/>
      <c r="E313" s="2"/>
    </row>
    <row r="314" spans="3:5" ht="14.25" customHeight="1">
      <c r="C314" s="1"/>
      <c r="E314" s="2"/>
    </row>
    <row r="315" spans="3:5" ht="14.25" customHeight="1">
      <c r="C315" s="1"/>
      <c r="E315" s="2"/>
    </row>
    <row r="316" spans="3:5" ht="14.25" customHeight="1">
      <c r="C316" s="1"/>
      <c r="E316" s="2"/>
    </row>
    <row r="317" spans="3:5" ht="14.25" customHeight="1">
      <c r="C317" s="1"/>
      <c r="E317" s="2"/>
    </row>
    <row r="318" spans="3:5" ht="14.25" customHeight="1">
      <c r="C318" s="1"/>
      <c r="E318" s="2"/>
    </row>
    <row r="319" spans="3:5" ht="14.25" customHeight="1">
      <c r="C319" s="1"/>
      <c r="E319" s="2"/>
    </row>
    <row r="320" spans="3:5" ht="14.25" customHeight="1">
      <c r="C320" s="1"/>
      <c r="E320" s="2"/>
    </row>
    <row r="321" spans="3:5" ht="14.25" customHeight="1">
      <c r="C321" s="1"/>
      <c r="E321" s="2"/>
    </row>
    <row r="322" spans="3:5" ht="14.25" customHeight="1">
      <c r="C322" s="1"/>
      <c r="E322" s="2"/>
    </row>
    <row r="323" spans="3:5" ht="14.25" customHeight="1">
      <c r="C323" s="1"/>
      <c r="E323" s="2"/>
    </row>
    <row r="324" spans="3:5" ht="14.25" customHeight="1">
      <c r="C324" s="1"/>
      <c r="E324" s="2"/>
    </row>
    <row r="325" spans="3:5" ht="14.25" customHeight="1">
      <c r="C325" s="1"/>
      <c r="E325" s="2"/>
    </row>
    <row r="326" spans="3:5" ht="14.25" customHeight="1">
      <c r="C326" s="1"/>
      <c r="E326" s="2"/>
    </row>
    <row r="327" spans="3:5" ht="14.25" customHeight="1">
      <c r="C327" s="1"/>
      <c r="E327" s="2"/>
    </row>
    <row r="328" spans="3:5" ht="14.25" customHeight="1">
      <c r="C328" s="1"/>
      <c r="E328" s="2"/>
    </row>
    <row r="329" spans="3:5" ht="14.25" customHeight="1">
      <c r="C329" s="1"/>
      <c r="E329" s="2"/>
    </row>
    <row r="330" spans="3:5" ht="14.25" customHeight="1">
      <c r="C330" s="1"/>
      <c r="E330" s="2"/>
    </row>
    <row r="331" spans="3:5" ht="14.25" customHeight="1">
      <c r="C331" s="1"/>
      <c r="E331" s="2"/>
    </row>
    <row r="332" spans="3:5" ht="14.25" customHeight="1">
      <c r="C332" s="1"/>
      <c r="E332" s="2"/>
    </row>
    <row r="333" spans="3:5" ht="14.25" customHeight="1">
      <c r="C333" s="1"/>
      <c r="E333" s="2"/>
    </row>
    <row r="334" spans="3:5" ht="14.25" customHeight="1">
      <c r="C334" s="1"/>
      <c r="E334" s="2"/>
    </row>
    <row r="335" spans="3:5" ht="14.25" customHeight="1">
      <c r="C335" s="1"/>
      <c r="E335" s="2"/>
    </row>
    <row r="336" spans="3:5" ht="14.25" customHeight="1">
      <c r="C336" s="1"/>
      <c r="E336" s="2"/>
    </row>
    <row r="337" spans="3:5" ht="14.25" customHeight="1">
      <c r="C337" s="1"/>
      <c r="E337" s="2"/>
    </row>
    <row r="338" spans="3:5" ht="14.25" customHeight="1">
      <c r="C338" s="1"/>
      <c r="E338" s="2"/>
    </row>
    <row r="339" spans="3:5" ht="14.25" customHeight="1">
      <c r="C339" s="1"/>
      <c r="E339" s="2"/>
    </row>
    <row r="340" spans="3:5" ht="14.25" customHeight="1">
      <c r="C340" s="1"/>
      <c r="E340" s="2"/>
    </row>
    <row r="341" spans="3:5" ht="14.25" customHeight="1">
      <c r="C341" s="1"/>
      <c r="E341" s="2"/>
    </row>
    <row r="342" spans="3:5" ht="14.25" customHeight="1">
      <c r="C342" s="1"/>
      <c r="E342" s="2"/>
    </row>
    <row r="343" spans="3:5" ht="14.25" customHeight="1">
      <c r="C343" s="1"/>
      <c r="E343" s="2"/>
    </row>
    <row r="344" spans="3:5" ht="14.25" customHeight="1">
      <c r="C344" s="1"/>
      <c r="E344" s="2"/>
    </row>
    <row r="345" spans="3:5" ht="14.25" customHeight="1">
      <c r="C345" s="1"/>
      <c r="E345" s="2"/>
    </row>
    <row r="346" spans="3:5" ht="14.25" customHeight="1">
      <c r="C346" s="1"/>
      <c r="E346" s="2"/>
    </row>
    <row r="347" spans="3:5" ht="14.25" customHeight="1">
      <c r="C347" s="1"/>
      <c r="E347" s="2"/>
    </row>
    <row r="348" spans="3:5" ht="14.25" customHeight="1">
      <c r="C348" s="1"/>
      <c r="E348" s="2"/>
    </row>
    <row r="349" spans="3:5" ht="14.25" customHeight="1">
      <c r="C349" s="1"/>
      <c r="E349" s="2"/>
    </row>
    <row r="350" spans="3:5" ht="14.25" customHeight="1">
      <c r="C350" s="1"/>
      <c r="E350" s="2"/>
    </row>
    <row r="351" spans="3:5" ht="14.25" customHeight="1">
      <c r="C351" s="1"/>
      <c r="E351" s="2"/>
    </row>
    <row r="352" spans="3:5" ht="14.25" customHeight="1">
      <c r="C352" s="1"/>
      <c r="E352" s="2"/>
    </row>
    <row r="353" spans="3:5" ht="14.25" customHeight="1">
      <c r="C353" s="1"/>
      <c r="E353" s="2"/>
    </row>
    <row r="354" spans="3:5" ht="14.25" customHeight="1">
      <c r="C354" s="1"/>
      <c r="E354" s="2"/>
    </row>
    <row r="355" spans="3:5" ht="14.25" customHeight="1">
      <c r="C355" s="1"/>
      <c r="E355" s="2"/>
    </row>
    <row r="356" spans="3:5" ht="14.25" customHeight="1">
      <c r="C356" s="1"/>
      <c r="E356" s="2"/>
    </row>
    <row r="357" spans="3:5" ht="14.25" customHeight="1">
      <c r="C357" s="1"/>
      <c r="E357" s="2"/>
    </row>
    <row r="358" spans="3:5" ht="14.25" customHeight="1">
      <c r="C358" s="1"/>
      <c r="E358" s="2"/>
    </row>
    <row r="359" spans="3:5" ht="14.25" customHeight="1">
      <c r="C359" s="1"/>
      <c r="E359" s="2"/>
    </row>
    <row r="360" spans="3:5" ht="14.25" customHeight="1">
      <c r="C360" s="1"/>
      <c r="E360" s="2"/>
    </row>
    <row r="361" spans="3:5" ht="14.25" customHeight="1">
      <c r="C361" s="1"/>
      <c r="E361" s="2"/>
    </row>
    <row r="362" spans="3:5" ht="14.25" customHeight="1">
      <c r="C362" s="1"/>
      <c r="E362" s="2"/>
    </row>
    <row r="363" spans="3:5" ht="14.25" customHeight="1">
      <c r="C363" s="1"/>
      <c r="E363" s="2"/>
    </row>
    <row r="364" spans="3:5" ht="14.25" customHeight="1">
      <c r="C364" s="1"/>
      <c r="E364" s="2"/>
    </row>
    <row r="365" spans="3:5" ht="14.25" customHeight="1">
      <c r="C365" s="1"/>
      <c r="E365" s="2"/>
    </row>
    <row r="366" spans="3:5" ht="14.25" customHeight="1">
      <c r="C366" s="1"/>
      <c r="E366" s="2"/>
    </row>
    <row r="367" spans="3:5" ht="14.25" customHeight="1">
      <c r="C367" s="1"/>
      <c r="E367" s="2"/>
    </row>
    <row r="368" spans="3:5" ht="14.25" customHeight="1">
      <c r="C368" s="1"/>
      <c r="E368" s="2"/>
    </row>
    <row r="369" spans="3:5" ht="14.25" customHeight="1">
      <c r="C369" s="1"/>
      <c r="E369" s="2"/>
    </row>
    <row r="370" spans="3:5" ht="14.25" customHeight="1">
      <c r="C370" s="1"/>
      <c r="E370" s="2"/>
    </row>
    <row r="371" spans="3:5" ht="14.25" customHeight="1">
      <c r="C371" s="1"/>
      <c r="E371" s="2"/>
    </row>
    <row r="372" spans="3:5" ht="14.25" customHeight="1">
      <c r="C372" s="1"/>
      <c r="E372" s="2"/>
    </row>
    <row r="373" spans="3:5" ht="14.25" customHeight="1">
      <c r="C373" s="1"/>
      <c r="E373" s="2"/>
    </row>
    <row r="374" spans="3:5" ht="14.25" customHeight="1">
      <c r="C374" s="1"/>
      <c r="E374" s="2"/>
    </row>
    <row r="375" spans="3:5" ht="14.25" customHeight="1">
      <c r="C375" s="1"/>
      <c r="E375" s="2"/>
    </row>
    <row r="376" spans="3:5" ht="14.25" customHeight="1">
      <c r="C376" s="1"/>
      <c r="E376" s="2"/>
    </row>
    <row r="377" spans="3:5" ht="14.25" customHeight="1">
      <c r="C377" s="1"/>
      <c r="E377" s="2"/>
    </row>
    <row r="378" spans="3:5" ht="14.25" customHeight="1">
      <c r="C378" s="1"/>
      <c r="E378" s="2"/>
    </row>
    <row r="379" spans="3:5" ht="14.25" customHeight="1">
      <c r="C379" s="1"/>
      <c r="E379" s="2"/>
    </row>
    <row r="380" spans="3:5" ht="14.25" customHeight="1">
      <c r="C380" s="1"/>
      <c r="E380" s="2"/>
    </row>
    <row r="381" spans="3:5" ht="14.25" customHeight="1">
      <c r="C381" s="1"/>
      <c r="E381" s="2"/>
    </row>
    <row r="382" spans="3:5" ht="14.25" customHeight="1">
      <c r="C382" s="1"/>
      <c r="E382" s="2"/>
    </row>
    <row r="383" spans="3:5" ht="14.25" customHeight="1">
      <c r="C383" s="1"/>
      <c r="E383" s="2"/>
    </row>
    <row r="384" spans="3:5" ht="14.25" customHeight="1">
      <c r="C384" s="1"/>
      <c r="E384" s="2"/>
    </row>
    <row r="385" spans="3:5" ht="14.25" customHeight="1">
      <c r="C385" s="1"/>
      <c r="E385" s="2"/>
    </row>
    <row r="386" spans="3:5" ht="14.25" customHeight="1">
      <c r="C386" s="1"/>
      <c r="E386" s="2"/>
    </row>
    <row r="387" spans="3:5" ht="14.25" customHeight="1">
      <c r="C387" s="1"/>
      <c r="E387" s="2"/>
    </row>
    <row r="388" spans="3:5" ht="14.25" customHeight="1">
      <c r="C388" s="1"/>
      <c r="E388" s="2"/>
    </row>
    <row r="389" spans="3:5" ht="14.25" customHeight="1">
      <c r="C389" s="1"/>
      <c r="E389" s="2"/>
    </row>
    <row r="390" spans="3:5" ht="14.25" customHeight="1">
      <c r="C390" s="1"/>
      <c r="E390" s="2"/>
    </row>
    <row r="391" spans="3:5" ht="14.25" customHeight="1">
      <c r="C391" s="1"/>
      <c r="E391" s="2"/>
    </row>
    <row r="392" spans="3:5" ht="14.25" customHeight="1">
      <c r="C392" s="1"/>
      <c r="E392" s="2"/>
    </row>
    <row r="393" spans="3:5" ht="14.25" customHeight="1">
      <c r="C393" s="1"/>
      <c r="E393" s="2"/>
    </row>
    <row r="394" spans="3:5" ht="14.25" customHeight="1">
      <c r="C394" s="1"/>
      <c r="E394" s="2"/>
    </row>
    <row r="395" spans="3:5" ht="14.25" customHeight="1">
      <c r="C395" s="1"/>
      <c r="E395" s="2"/>
    </row>
    <row r="396" spans="3:5" ht="14.25" customHeight="1">
      <c r="C396" s="1"/>
      <c r="E396" s="2"/>
    </row>
    <row r="397" spans="3:5" ht="14.25" customHeight="1">
      <c r="C397" s="1"/>
      <c r="E397" s="2"/>
    </row>
    <row r="398" spans="3:5" ht="14.25" customHeight="1">
      <c r="C398" s="1"/>
      <c r="E398" s="2"/>
    </row>
    <row r="399" spans="3:5" ht="14.25" customHeight="1">
      <c r="C399" s="1"/>
      <c r="E399" s="2"/>
    </row>
    <row r="400" spans="3:5" ht="14.25" customHeight="1">
      <c r="C400" s="1"/>
      <c r="E400" s="2"/>
    </row>
    <row r="401" spans="3:5" ht="14.25" customHeight="1">
      <c r="C401" s="1"/>
      <c r="E401" s="2"/>
    </row>
    <row r="402" spans="3:5" ht="14.25" customHeight="1">
      <c r="C402" s="1"/>
      <c r="E402" s="2"/>
    </row>
    <row r="403" spans="3:5" ht="14.25" customHeight="1">
      <c r="C403" s="1"/>
      <c r="E403" s="2"/>
    </row>
    <row r="404" spans="3:5" ht="14.25" customHeight="1">
      <c r="C404" s="1"/>
      <c r="E404" s="2"/>
    </row>
    <row r="405" spans="3:5" ht="14.25" customHeight="1">
      <c r="C405" s="1"/>
      <c r="E405" s="2"/>
    </row>
    <row r="406" spans="3:5" ht="14.25" customHeight="1">
      <c r="C406" s="1"/>
      <c r="E406" s="2"/>
    </row>
    <row r="407" spans="3:5" ht="14.25" customHeight="1">
      <c r="C407" s="1"/>
      <c r="E407" s="2"/>
    </row>
    <row r="408" spans="3:5" ht="14.25" customHeight="1">
      <c r="C408" s="1"/>
      <c r="E408" s="2"/>
    </row>
    <row r="409" spans="3:5" ht="14.25" customHeight="1">
      <c r="C409" s="1"/>
      <c r="E409" s="2"/>
    </row>
    <row r="410" spans="3:5" ht="14.25" customHeight="1">
      <c r="C410" s="1"/>
      <c r="E410" s="2"/>
    </row>
    <row r="411" spans="3:5" ht="14.25" customHeight="1">
      <c r="C411" s="1"/>
      <c r="E411" s="2"/>
    </row>
    <row r="412" spans="3:5" ht="14.25" customHeight="1">
      <c r="C412" s="1"/>
      <c r="E412" s="2"/>
    </row>
    <row r="413" spans="3:5" ht="14.25" customHeight="1">
      <c r="C413" s="1"/>
      <c r="E413" s="2"/>
    </row>
    <row r="414" spans="3:5" ht="14.25" customHeight="1">
      <c r="C414" s="1"/>
      <c r="E414" s="2"/>
    </row>
    <row r="415" spans="3:5" ht="14.25" customHeight="1">
      <c r="C415" s="1"/>
      <c r="E415" s="2"/>
    </row>
    <row r="416" spans="3:5" ht="14.25" customHeight="1">
      <c r="C416" s="1"/>
      <c r="E416" s="2"/>
    </row>
    <row r="417" spans="3:5" ht="14.25" customHeight="1">
      <c r="C417" s="1"/>
      <c r="E417" s="2"/>
    </row>
    <row r="418" spans="3:5" ht="14.25" customHeight="1">
      <c r="C418" s="1"/>
      <c r="E418" s="2"/>
    </row>
    <row r="419" spans="3:5" ht="14.25" customHeight="1">
      <c r="C419" s="1"/>
      <c r="E419" s="2"/>
    </row>
    <row r="420" spans="3:5" ht="14.25" customHeight="1">
      <c r="C420" s="1"/>
      <c r="E420" s="2"/>
    </row>
    <row r="421" spans="3:5" ht="14.25" customHeight="1">
      <c r="C421" s="1"/>
      <c r="E421" s="2"/>
    </row>
    <row r="422" spans="3:5" ht="14.25" customHeight="1">
      <c r="C422" s="1"/>
      <c r="E422" s="2"/>
    </row>
    <row r="423" spans="3:5" ht="14.25" customHeight="1">
      <c r="C423" s="1"/>
      <c r="E423" s="2"/>
    </row>
    <row r="424" spans="3:5" ht="14.25" customHeight="1">
      <c r="C424" s="1"/>
      <c r="E424" s="2"/>
    </row>
    <row r="425" spans="3:5" ht="14.25" customHeight="1">
      <c r="C425" s="1"/>
      <c r="E425" s="2"/>
    </row>
    <row r="426" spans="3:5" ht="14.25" customHeight="1">
      <c r="C426" s="1"/>
      <c r="E426" s="2"/>
    </row>
    <row r="427" spans="3:5" ht="14.25" customHeight="1">
      <c r="C427" s="1"/>
      <c r="E427" s="2"/>
    </row>
    <row r="428" spans="3:5" ht="14.25" customHeight="1">
      <c r="C428" s="1"/>
      <c r="E428" s="2"/>
    </row>
    <row r="429" spans="3:5" ht="14.25" customHeight="1">
      <c r="C429" s="1"/>
      <c r="E429" s="2"/>
    </row>
    <row r="430" spans="3:5" ht="14.25" customHeight="1">
      <c r="C430" s="1"/>
      <c r="E430" s="2"/>
    </row>
    <row r="431" spans="3:5" ht="14.25" customHeight="1">
      <c r="C431" s="1"/>
      <c r="E431" s="2"/>
    </row>
    <row r="432" spans="3:5" ht="14.25" customHeight="1">
      <c r="C432" s="1"/>
      <c r="E432" s="2"/>
    </row>
    <row r="433" spans="3:5" ht="14.25" customHeight="1">
      <c r="C433" s="1"/>
      <c r="E433" s="2"/>
    </row>
    <row r="434" spans="3:5" ht="14.25" customHeight="1">
      <c r="C434" s="1"/>
      <c r="E434" s="2"/>
    </row>
    <row r="435" spans="3:5" ht="14.25" customHeight="1">
      <c r="C435" s="1"/>
      <c r="E435" s="2"/>
    </row>
    <row r="436" spans="3:5" ht="14.25" customHeight="1">
      <c r="C436" s="1"/>
      <c r="E436" s="2"/>
    </row>
    <row r="437" spans="3:5" ht="14.25" customHeight="1">
      <c r="C437" s="1"/>
      <c r="E437" s="2"/>
    </row>
    <row r="438" spans="3:5" ht="14.25" customHeight="1">
      <c r="C438" s="1"/>
      <c r="E438" s="2"/>
    </row>
    <row r="439" spans="3:5" ht="14.25" customHeight="1">
      <c r="C439" s="1"/>
      <c r="E439" s="2"/>
    </row>
    <row r="440" spans="3:5" ht="14.25" customHeight="1">
      <c r="C440" s="1"/>
      <c r="E440" s="2"/>
    </row>
    <row r="441" spans="3:5" ht="14.25" customHeight="1">
      <c r="C441" s="1"/>
      <c r="E441" s="2"/>
    </row>
    <row r="442" spans="3:5" ht="14.25" customHeight="1">
      <c r="C442" s="1"/>
      <c r="E442" s="2"/>
    </row>
    <row r="443" spans="3:5" ht="14.25" customHeight="1">
      <c r="C443" s="1"/>
      <c r="E443" s="2"/>
    </row>
    <row r="444" spans="3:5" ht="14.25" customHeight="1">
      <c r="C444" s="1"/>
      <c r="E444" s="2"/>
    </row>
    <row r="445" spans="3:5" ht="14.25" customHeight="1">
      <c r="C445" s="1"/>
      <c r="E445" s="2"/>
    </row>
    <row r="446" spans="3:5" ht="14.25" customHeight="1">
      <c r="C446" s="1"/>
      <c r="E446" s="2"/>
    </row>
    <row r="447" spans="3:5" ht="14.25" customHeight="1">
      <c r="C447" s="1"/>
      <c r="E447" s="2"/>
    </row>
    <row r="448" spans="3:5" ht="14.25" customHeight="1">
      <c r="C448" s="1"/>
      <c r="E448" s="2"/>
    </row>
    <row r="449" spans="3:5" ht="14.25" customHeight="1">
      <c r="C449" s="1"/>
      <c r="E449" s="2"/>
    </row>
    <row r="450" spans="3:5" ht="14.25" customHeight="1">
      <c r="C450" s="1"/>
      <c r="E450" s="2"/>
    </row>
    <row r="451" spans="3:5" ht="14.25" customHeight="1">
      <c r="C451" s="1"/>
      <c r="E451" s="2"/>
    </row>
    <row r="452" spans="3:5" ht="14.25" customHeight="1">
      <c r="C452" s="1"/>
      <c r="E452" s="2"/>
    </row>
    <row r="453" spans="3:5" ht="14.25" customHeight="1">
      <c r="C453" s="1"/>
      <c r="E453" s="2"/>
    </row>
    <row r="454" spans="3:5" ht="14.25" customHeight="1">
      <c r="C454" s="1"/>
      <c r="E454" s="2"/>
    </row>
    <row r="455" spans="3:5" ht="14.25" customHeight="1">
      <c r="C455" s="1"/>
      <c r="E455" s="2"/>
    </row>
    <row r="456" spans="3:5" ht="14.25" customHeight="1">
      <c r="C456" s="1"/>
      <c r="E456" s="2"/>
    </row>
    <row r="457" spans="3:5" ht="14.25" customHeight="1">
      <c r="C457" s="1"/>
      <c r="E457" s="2"/>
    </row>
    <row r="458" spans="3:5" ht="14.25" customHeight="1">
      <c r="C458" s="1"/>
      <c r="E458" s="2"/>
    </row>
    <row r="459" spans="3:5" ht="14.25" customHeight="1">
      <c r="C459" s="1"/>
      <c r="E459" s="2"/>
    </row>
    <row r="460" spans="3:5" ht="14.25" customHeight="1">
      <c r="C460" s="1"/>
      <c r="E460" s="2"/>
    </row>
    <row r="461" spans="3:5" ht="14.25" customHeight="1">
      <c r="C461" s="1"/>
      <c r="E461" s="2"/>
    </row>
    <row r="462" spans="3:5" ht="14.25" customHeight="1">
      <c r="C462" s="1"/>
      <c r="E462" s="2"/>
    </row>
    <row r="463" spans="3:5" ht="14.25" customHeight="1">
      <c r="C463" s="1"/>
      <c r="E463" s="2"/>
    </row>
    <row r="464" spans="3:5" ht="14.25" customHeight="1">
      <c r="C464" s="1"/>
      <c r="E464" s="2"/>
    </row>
    <row r="465" spans="3:5" ht="14.25" customHeight="1">
      <c r="C465" s="1"/>
      <c r="E465" s="2"/>
    </row>
    <row r="466" spans="3:5" ht="14.25" customHeight="1">
      <c r="C466" s="1"/>
      <c r="E466" s="2"/>
    </row>
    <row r="467" spans="3:5" ht="14.25" customHeight="1">
      <c r="C467" s="1"/>
      <c r="E467" s="2"/>
    </row>
    <row r="468" spans="3:5" ht="14.25" customHeight="1">
      <c r="C468" s="1"/>
      <c r="E468" s="2"/>
    </row>
    <row r="469" spans="3:5" ht="14.25" customHeight="1">
      <c r="C469" s="1"/>
      <c r="E469" s="2"/>
    </row>
    <row r="470" spans="3:5" ht="14.25" customHeight="1">
      <c r="C470" s="1"/>
      <c r="E470" s="2"/>
    </row>
    <row r="471" spans="3:5" ht="14.25" customHeight="1">
      <c r="C471" s="1"/>
      <c r="E471" s="2"/>
    </row>
    <row r="472" spans="3:5" ht="14.25" customHeight="1">
      <c r="C472" s="1"/>
      <c r="E472" s="2"/>
    </row>
    <row r="473" spans="3:5" ht="14.25" customHeight="1">
      <c r="C473" s="1"/>
      <c r="E473" s="2"/>
    </row>
    <row r="474" spans="3:5" ht="14.25" customHeight="1">
      <c r="C474" s="1"/>
      <c r="E474" s="2"/>
    </row>
    <row r="475" spans="3:5" ht="14.25" customHeight="1">
      <c r="C475" s="1"/>
      <c r="E475" s="2"/>
    </row>
    <row r="476" spans="3:5" ht="14.25" customHeight="1">
      <c r="C476" s="1"/>
      <c r="E476" s="2"/>
    </row>
    <row r="477" spans="3:5" ht="14.25" customHeight="1">
      <c r="C477" s="1"/>
      <c r="E477" s="2"/>
    </row>
    <row r="478" spans="3:5" ht="14.25" customHeight="1">
      <c r="C478" s="1"/>
      <c r="E478" s="2"/>
    </row>
    <row r="479" spans="3:5" ht="14.25" customHeight="1">
      <c r="C479" s="1"/>
      <c r="E479" s="2"/>
    </row>
    <row r="480" spans="3:5" ht="14.25" customHeight="1">
      <c r="C480" s="1"/>
      <c r="E480" s="2"/>
    </row>
    <row r="481" spans="3:5" ht="14.25" customHeight="1">
      <c r="C481" s="1"/>
      <c r="E481" s="2"/>
    </row>
    <row r="482" spans="3:5" ht="14.25" customHeight="1">
      <c r="C482" s="1"/>
      <c r="E482" s="2"/>
    </row>
    <row r="483" spans="3:5" ht="14.25" customHeight="1">
      <c r="C483" s="1"/>
      <c r="E483" s="2"/>
    </row>
    <row r="484" spans="3:5" ht="14.25" customHeight="1">
      <c r="C484" s="1"/>
      <c r="E484" s="2"/>
    </row>
    <row r="485" spans="3:5" ht="14.25" customHeight="1">
      <c r="C485" s="1"/>
      <c r="E485" s="2"/>
    </row>
    <row r="486" spans="3:5" ht="14.25" customHeight="1">
      <c r="C486" s="1"/>
      <c r="E486" s="2"/>
    </row>
    <row r="487" spans="3:5" ht="14.25" customHeight="1">
      <c r="C487" s="1"/>
      <c r="E487" s="2"/>
    </row>
    <row r="488" spans="3:5" ht="14.25" customHeight="1">
      <c r="C488" s="1"/>
      <c r="E488" s="2"/>
    </row>
    <row r="489" spans="3:5" ht="14.25" customHeight="1">
      <c r="C489" s="1"/>
      <c r="E489" s="2"/>
    </row>
    <row r="490" spans="3:5" ht="14.25" customHeight="1">
      <c r="C490" s="1"/>
      <c r="E490" s="2"/>
    </row>
    <row r="491" spans="3:5" ht="14.25" customHeight="1">
      <c r="C491" s="1"/>
      <c r="E491" s="2"/>
    </row>
    <row r="492" spans="3:5" ht="14.25" customHeight="1">
      <c r="C492" s="1"/>
      <c r="E492" s="2"/>
    </row>
    <row r="493" spans="3:5" ht="14.25" customHeight="1">
      <c r="C493" s="1"/>
      <c r="E493" s="2"/>
    </row>
    <row r="494" spans="3:5" ht="14.25" customHeight="1">
      <c r="C494" s="1"/>
      <c r="E494" s="2"/>
    </row>
    <row r="495" spans="3:5" ht="14.25" customHeight="1">
      <c r="C495" s="1"/>
      <c r="E495" s="2"/>
    </row>
    <row r="496" spans="3:5" ht="14.25" customHeight="1">
      <c r="C496" s="1"/>
      <c r="E496" s="2"/>
    </row>
    <row r="497" spans="3:5" ht="14.25" customHeight="1">
      <c r="C497" s="1"/>
      <c r="E497" s="2"/>
    </row>
    <row r="498" spans="3:5" ht="14.25" customHeight="1">
      <c r="C498" s="1"/>
      <c r="E498" s="2"/>
    </row>
    <row r="499" spans="3:5" ht="14.25" customHeight="1">
      <c r="C499" s="1"/>
      <c r="E499" s="2"/>
    </row>
    <row r="500" spans="3:5" ht="14.25" customHeight="1">
      <c r="C500" s="1"/>
      <c r="E500" s="2"/>
    </row>
    <row r="501" spans="3:5" ht="14.25" customHeight="1">
      <c r="C501" s="1"/>
      <c r="E501" s="2"/>
    </row>
    <row r="502" spans="3:5" ht="14.25" customHeight="1">
      <c r="C502" s="1"/>
      <c r="E502" s="2"/>
    </row>
    <row r="503" spans="3:5" ht="14.25" customHeight="1">
      <c r="C503" s="1"/>
      <c r="E503" s="2"/>
    </row>
    <row r="504" spans="3:5" ht="14.25" customHeight="1">
      <c r="C504" s="1"/>
      <c r="E504" s="2"/>
    </row>
    <row r="505" spans="3:5" ht="14.25" customHeight="1">
      <c r="C505" s="1"/>
      <c r="E505" s="2"/>
    </row>
    <row r="506" spans="3:5" ht="14.25" customHeight="1">
      <c r="C506" s="1"/>
      <c r="E506" s="2"/>
    </row>
    <row r="507" spans="3:5" ht="14.25" customHeight="1">
      <c r="C507" s="1"/>
      <c r="E507" s="2"/>
    </row>
    <row r="508" spans="3:5" ht="14.25" customHeight="1">
      <c r="C508" s="1"/>
      <c r="E508" s="2"/>
    </row>
    <row r="509" spans="3:5" ht="14.25" customHeight="1">
      <c r="C509" s="1"/>
      <c r="E509" s="2"/>
    </row>
    <row r="510" spans="3:5" ht="14.25" customHeight="1">
      <c r="C510" s="1"/>
      <c r="E510" s="2"/>
    </row>
    <row r="511" spans="3:5" ht="14.25" customHeight="1">
      <c r="C511" s="1"/>
      <c r="E511" s="2"/>
    </row>
    <row r="512" spans="3:5" ht="14.25" customHeight="1">
      <c r="C512" s="1"/>
      <c r="E512" s="2"/>
    </row>
    <row r="513" spans="3:5" ht="14.25" customHeight="1">
      <c r="C513" s="1"/>
      <c r="E513" s="2"/>
    </row>
    <row r="514" spans="3:5" ht="14.25" customHeight="1">
      <c r="C514" s="1"/>
      <c r="E514" s="2"/>
    </row>
    <row r="515" spans="3:5" ht="14.25" customHeight="1">
      <c r="C515" s="1"/>
      <c r="E515" s="2"/>
    </row>
    <row r="516" spans="3:5" ht="14.25" customHeight="1">
      <c r="C516" s="1"/>
      <c r="E516" s="2"/>
    </row>
    <row r="517" spans="3:5" ht="14.25" customHeight="1">
      <c r="C517" s="1"/>
      <c r="E517" s="2"/>
    </row>
    <row r="518" spans="3:5" ht="14.25" customHeight="1">
      <c r="C518" s="1"/>
      <c r="E518" s="2"/>
    </row>
    <row r="519" spans="3:5" ht="14.25" customHeight="1">
      <c r="C519" s="1"/>
      <c r="E519" s="2"/>
    </row>
    <row r="520" spans="3:5" ht="14.25" customHeight="1">
      <c r="C520" s="1"/>
      <c r="E520" s="2"/>
    </row>
    <row r="521" spans="3:5" ht="14.25" customHeight="1">
      <c r="C521" s="1"/>
      <c r="E521" s="2"/>
    </row>
    <row r="522" spans="3:5" ht="14.25" customHeight="1">
      <c r="C522" s="1"/>
      <c r="E522" s="2"/>
    </row>
    <row r="523" spans="3:5" ht="14.25" customHeight="1">
      <c r="C523" s="1"/>
      <c r="E523" s="2"/>
    </row>
    <row r="524" spans="3:5" ht="14.25" customHeight="1">
      <c r="C524" s="1"/>
      <c r="E524" s="2"/>
    </row>
    <row r="525" spans="3:5" ht="14.25" customHeight="1">
      <c r="C525" s="1"/>
      <c r="E525" s="2"/>
    </row>
    <row r="526" spans="3:5" ht="14.25" customHeight="1">
      <c r="C526" s="1"/>
      <c r="E526" s="2"/>
    </row>
    <row r="527" spans="3:5" ht="14.25" customHeight="1">
      <c r="C527" s="1"/>
      <c r="E527" s="2"/>
    </row>
    <row r="528" spans="3:5" ht="14.25" customHeight="1">
      <c r="C528" s="1"/>
      <c r="E528" s="2"/>
    </row>
    <row r="529" spans="3:5" ht="14.25" customHeight="1">
      <c r="C529" s="1"/>
      <c r="E529" s="2"/>
    </row>
    <row r="530" spans="3:5" ht="14.25" customHeight="1">
      <c r="C530" s="1"/>
      <c r="E530" s="2"/>
    </row>
    <row r="531" spans="3:5" ht="14.25" customHeight="1">
      <c r="C531" s="1"/>
      <c r="E531" s="2"/>
    </row>
    <row r="532" spans="3:5" ht="14.25" customHeight="1">
      <c r="C532" s="1"/>
      <c r="E532" s="2"/>
    </row>
    <row r="533" spans="3:5" ht="14.25" customHeight="1">
      <c r="C533" s="1"/>
      <c r="E533" s="2"/>
    </row>
    <row r="534" spans="3:5" ht="14.25" customHeight="1">
      <c r="C534" s="1"/>
      <c r="E534" s="2"/>
    </row>
    <row r="535" spans="3:5" ht="14.25" customHeight="1">
      <c r="C535" s="1"/>
      <c r="E535" s="2"/>
    </row>
    <row r="536" spans="3:5" ht="14.25" customHeight="1">
      <c r="C536" s="1"/>
      <c r="E536" s="2"/>
    </row>
    <row r="537" spans="3:5" ht="14.25" customHeight="1">
      <c r="C537" s="1"/>
      <c r="E537" s="2"/>
    </row>
    <row r="538" spans="3:5" ht="14.25" customHeight="1">
      <c r="C538" s="1"/>
      <c r="E538" s="2"/>
    </row>
    <row r="539" spans="3:5" ht="14.25" customHeight="1">
      <c r="C539" s="1"/>
      <c r="E539" s="2"/>
    </row>
    <row r="540" spans="3:5" ht="14.25" customHeight="1">
      <c r="C540" s="1"/>
      <c r="E540" s="2"/>
    </row>
    <row r="541" spans="3:5" ht="14.25" customHeight="1">
      <c r="C541" s="1"/>
      <c r="E541" s="2"/>
    </row>
    <row r="542" spans="3:5" ht="14.25" customHeight="1">
      <c r="C542" s="1"/>
      <c r="E542" s="2"/>
    </row>
    <row r="543" spans="3:5" ht="14.25" customHeight="1">
      <c r="C543" s="1"/>
      <c r="E543" s="2"/>
    </row>
    <row r="544" spans="3:5" ht="14.25" customHeight="1">
      <c r="C544" s="1"/>
      <c r="E544" s="2"/>
    </row>
    <row r="545" spans="3:5" ht="14.25" customHeight="1">
      <c r="C545" s="1"/>
      <c r="E545" s="2"/>
    </row>
    <row r="546" spans="3:5" ht="14.25" customHeight="1">
      <c r="C546" s="1"/>
      <c r="E546" s="2"/>
    </row>
    <row r="547" spans="3:5" ht="14.25" customHeight="1">
      <c r="C547" s="1"/>
      <c r="E547" s="2"/>
    </row>
    <row r="548" spans="3:5" ht="14.25" customHeight="1">
      <c r="C548" s="1"/>
      <c r="E548" s="2"/>
    </row>
    <row r="549" spans="3:5" ht="14.25" customHeight="1">
      <c r="C549" s="1"/>
      <c r="E549" s="2"/>
    </row>
    <row r="550" spans="3:5" ht="14.25" customHeight="1">
      <c r="C550" s="1"/>
      <c r="E550" s="2"/>
    </row>
    <row r="551" spans="3:5" ht="14.25" customHeight="1">
      <c r="C551" s="1"/>
      <c r="E551" s="2"/>
    </row>
    <row r="552" spans="3:5" ht="14.25" customHeight="1">
      <c r="C552" s="1"/>
      <c r="E552" s="2"/>
    </row>
    <row r="553" spans="3:5" ht="14.25" customHeight="1">
      <c r="C553" s="1"/>
      <c r="E553" s="2"/>
    </row>
    <row r="554" spans="3:5" ht="14.25" customHeight="1">
      <c r="C554" s="1"/>
      <c r="E554" s="2"/>
    </row>
    <row r="555" spans="3:5" ht="14.25" customHeight="1">
      <c r="C555" s="1"/>
      <c r="E555" s="2"/>
    </row>
    <row r="556" spans="3:5" ht="14.25" customHeight="1">
      <c r="C556" s="1"/>
      <c r="E556" s="2"/>
    </row>
    <row r="557" spans="3:5" ht="14.25" customHeight="1">
      <c r="C557" s="1"/>
      <c r="E557" s="2"/>
    </row>
    <row r="558" spans="3:5" ht="14.25" customHeight="1">
      <c r="C558" s="1"/>
      <c r="E558" s="2"/>
    </row>
    <row r="559" spans="3:5" ht="14.25" customHeight="1">
      <c r="C559" s="1"/>
      <c r="E559" s="2"/>
    </row>
    <row r="560" spans="3:5" ht="14.25" customHeight="1">
      <c r="C560" s="1"/>
      <c r="E560" s="2"/>
    </row>
    <row r="561" spans="3:5" ht="14.25" customHeight="1">
      <c r="C561" s="1"/>
      <c r="E561" s="2"/>
    </row>
    <row r="562" spans="3:5" ht="14.25" customHeight="1">
      <c r="C562" s="1"/>
      <c r="E562" s="2"/>
    </row>
    <row r="563" spans="3:5" ht="14.25" customHeight="1">
      <c r="C563" s="1"/>
      <c r="E563" s="2"/>
    </row>
    <row r="564" spans="3:5" ht="14.25" customHeight="1">
      <c r="C564" s="1"/>
      <c r="E564" s="2"/>
    </row>
    <row r="565" spans="3:5" ht="14.25" customHeight="1">
      <c r="C565" s="1"/>
      <c r="E565" s="2"/>
    </row>
    <row r="566" spans="3:5" ht="14.25" customHeight="1">
      <c r="C566" s="1"/>
      <c r="E566" s="2"/>
    </row>
    <row r="567" spans="3:5" ht="14.25" customHeight="1">
      <c r="C567" s="1"/>
      <c r="E567" s="2"/>
    </row>
    <row r="568" spans="3:5" ht="14.25" customHeight="1">
      <c r="C568" s="1"/>
      <c r="E568" s="2"/>
    </row>
    <row r="569" spans="3:5" ht="14.25" customHeight="1">
      <c r="C569" s="1"/>
      <c r="E569" s="2"/>
    </row>
    <row r="570" spans="3:5" ht="14.25" customHeight="1">
      <c r="C570" s="1"/>
      <c r="E570" s="2"/>
    </row>
    <row r="571" spans="3:5" ht="14.25" customHeight="1">
      <c r="C571" s="1"/>
      <c r="E571" s="2"/>
    </row>
    <row r="572" spans="3:5" ht="14.25" customHeight="1">
      <c r="C572" s="1"/>
      <c r="E572" s="2"/>
    </row>
    <row r="573" spans="3:5" ht="14.25" customHeight="1">
      <c r="C573" s="1"/>
      <c r="E573" s="2"/>
    </row>
    <row r="574" spans="3:5" ht="14.25" customHeight="1">
      <c r="C574" s="1"/>
      <c r="E574" s="2"/>
    </row>
    <row r="575" spans="3:5" ht="14.25" customHeight="1">
      <c r="C575" s="1"/>
      <c r="E575" s="2"/>
    </row>
    <row r="576" spans="3:5" ht="14.25" customHeight="1">
      <c r="C576" s="1"/>
      <c r="E576" s="2"/>
    </row>
    <row r="577" spans="3:5" ht="14.25" customHeight="1">
      <c r="C577" s="1"/>
      <c r="E577" s="2"/>
    </row>
    <row r="578" spans="3:5" ht="14.25" customHeight="1">
      <c r="C578" s="1"/>
      <c r="E578" s="2"/>
    </row>
    <row r="579" spans="3:5" ht="14.25" customHeight="1">
      <c r="C579" s="1"/>
      <c r="E579" s="2"/>
    </row>
    <row r="580" spans="3:5" ht="14.25" customHeight="1">
      <c r="C580" s="1"/>
      <c r="E580" s="2"/>
    </row>
    <row r="581" spans="3:5" ht="14.25" customHeight="1">
      <c r="C581" s="1"/>
      <c r="E581" s="2"/>
    </row>
    <row r="582" spans="3:5" ht="14.25" customHeight="1">
      <c r="C582" s="1"/>
      <c r="E582" s="2"/>
    </row>
    <row r="583" spans="3:5" ht="14.25" customHeight="1">
      <c r="C583" s="1"/>
      <c r="E583" s="2"/>
    </row>
    <row r="584" spans="3:5" ht="14.25" customHeight="1">
      <c r="C584" s="1"/>
      <c r="E584" s="2"/>
    </row>
    <row r="585" spans="3:5" ht="14.25" customHeight="1">
      <c r="C585" s="1"/>
      <c r="E585" s="2"/>
    </row>
    <row r="586" spans="3:5" ht="14.25" customHeight="1">
      <c r="C586" s="1"/>
      <c r="E586" s="2"/>
    </row>
    <row r="587" spans="3:5" ht="14.25" customHeight="1">
      <c r="C587" s="1"/>
      <c r="E587" s="2"/>
    </row>
    <row r="588" spans="3:5" ht="14.25" customHeight="1">
      <c r="C588" s="1"/>
      <c r="E588" s="2"/>
    </row>
    <row r="589" spans="3:5" ht="14.25" customHeight="1">
      <c r="C589" s="1"/>
      <c r="E589" s="2"/>
    </row>
    <row r="590" spans="3:5" ht="14.25" customHeight="1">
      <c r="C590" s="1"/>
      <c r="E590" s="2"/>
    </row>
    <row r="591" spans="3:5" ht="14.25" customHeight="1">
      <c r="C591" s="1"/>
      <c r="E591" s="2"/>
    </row>
    <row r="592" spans="3:5" ht="14.25" customHeight="1">
      <c r="C592" s="1"/>
      <c r="E592" s="2"/>
    </row>
    <row r="593" spans="3:5" ht="14.25" customHeight="1">
      <c r="C593" s="1"/>
      <c r="E593" s="2"/>
    </row>
    <row r="594" spans="3:5" ht="14.25" customHeight="1">
      <c r="C594" s="1"/>
      <c r="E594" s="2"/>
    </row>
    <row r="595" spans="3:5" ht="14.25" customHeight="1">
      <c r="C595" s="1"/>
      <c r="E595" s="2"/>
    </row>
    <row r="596" spans="3:5" ht="14.25" customHeight="1">
      <c r="C596" s="1"/>
      <c r="E596" s="2"/>
    </row>
    <row r="597" spans="3:5" ht="14.25" customHeight="1">
      <c r="C597" s="1"/>
      <c r="E597" s="2"/>
    </row>
    <row r="598" spans="3:5" ht="14.25" customHeight="1">
      <c r="C598" s="1"/>
      <c r="E598" s="2"/>
    </row>
    <row r="599" spans="3:5" ht="14.25" customHeight="1">
      <c r="C599" s="1"/>
      <c r="E599" s="2"/>
    </row>
    <row r="600" spans="3:5" ht="14.25" customHeight="1">
      <c r="C600" s="1"/>
      <c r="E600" s="2"/>
    </row>
    <row r="601" spans="3:5" ht="14.25" customHeight="1">
      <c r="C601" s="1"/>
      <c r="E601" s="2"/>
    </row>
    <row r="602" spans="3:5" ht="14.25" customHeight="1">
      <c r="C602" s="1"/>
      <c r="E602" s="2"/>
    </row>
    <row r="603" spans="3:5" ht="14.25" customHeight="1">
      <c r="C603" s="1"/>
      <c r="E603" s="2"/>
    </row>
    <row r="604" spans="3:5" ht="14.25" customHeight="1">
      <c r="C604" s="1"/>
      <c r="E604" s="2"/>
    </row>
    <row r="605" spans="3:5" ht="14.25" customHeight="1">
      <c r="C605" s="1"/>
      <c r="E605" s="2"/>
    </row>
    <row r="606" spans="3:5" ht="14.25" customHeight="1">
      <c r="C606" s="1"/>
      <c r="E606" s="2"/>
    </row>
    <row r="607" spans="3:5" ht="14.25" customHeight="1">
      <c r="C607" s="1"/>
      <c r="E607" s="2"/>
    </row>
    <row r="608" spans="3:5" ht="14.25" customHeight="1">
      <c r="C608" s="1"/>
      <c r="E608" s="2"/>
    </row>
    <row r="609" spans="3:5" ht="14.25" customHeight="1">
      <c r="C609" s="1"/>
      <c r="E609" s="2"/>
    </row>
    <row r="610" spans="3:5" ht="14.25" customHeight="1">
      <c r="C610" s="1"/>
      <c r="E610" s="2"/>
    </row>
    <row r="611" spans="3:5" ht="14.25" customHeight="1">
      <c r="C611" s="1"/>
      <c r="E611" s="2"/>
    </row>
    <row r="612" spans="3:5" ht="14.25" customHeight="1">
      <c r="C612" s="1"/>
      <c r="E612" s="2"/>
    </row>
    <row r="613" spans="3:5" ht="14.25" customHeight="1">
      <c r="C613" s="1"/>
      <c r="E613" s="2"/>
    </row>
    <row r="614" spans="3:5" ht="14.25" customHeight="1">
      <c r="C614" s="1"/>
      <c r="E614" s="2"/>
    </row>
    <row r="615" spans="3:5" ht="14.25" customHeight="1">
      <c r="C615" s="1"/>
      <c r="E615" s="2"/>
    </row>
    <row r="616" spans="3:5" ht="14.25" customHeight="1">
      <c r="C616" s="1"/>
      <c r="E616" s="2"/>
    </row>
    <row r="617" spans="3:5" ht="14.25" customHeight="1">
      <c r="C617" s="1"/>
      <c r="E617" s="2"/>
    </row>
    <row r="618" spans="3:5" ht="14.25" customHeight="1">
      <c r="C618" s="1"/>
      <c r="E618" s="2"/>
    </row>
    <row r="619" spans="3:5" ht="14.25" customHeight="1">
      <c r="C619" s="1"/>
      <c r="E619" s="2"/>
    </row>
    <row r="620" spans="3:5" ht="14.25" customHeight="1">
      <c r="C620" s="1"/>
      <c r="E620" s="2"/>
    </row>
    <row r="621" spans="3:5" ht="14.25" customHeight="1">
      <c r="C621" s="1"/>
      <c r="E621" s="2"/>
    </row>
    <row r="622" spans="3:5" ht="14.25" customHeight="1">
      <c r="C622" s="1"/>
      <c r="E622" s="2"/>
    </row>
    <row r="623" spans="3:5" ht="14.25" customHeight="1">
      <c r="C623" s="1"/>
      <c r="E623" s="2"/>
    </row>
    <row r="624" spans="3:5" ht="14.25" customHeight="1">
      <c r="C624" s="1"/>
      <c r="E624" s="2"/>
    </row>
    <row r="625" spans="3:5" ht="14.25" customHeight="1">
      <c r="C625" s="1"/>
      <c r="E625" s="2"/>
    </row>
    <row r="626" spans="3:5" ht="14.25" customHeight="1">
      <c r="C626" s="1"/>
      <c r="E626" s="2"/>
    </row>
    <row r="627" spans="3:5" ht="14.25" customHeight="1">
      <c r="C627" s="1"/>
      <c r="E627" s="2"/>
    </row>
    <row r="628" spans="3:5" ht="14.25" customHeight="1">
      <c r="C628" s="1"/>
      <c r="E628" s="2"/>
    </row>
    <row r="629" spans="3:5" ht="14.25" customHeight="1">
      <c r="C629" s="1"/>
      <c r="E629" s="2"/>
    </row>
    <row r="630" spans="3:5" ht="14.25" customHeight="1">
      <c r="C630" s="1"/>
      <c r="E630" s="2"/>
    </row>
    <row r="631" spans="3:5" ht="14.25" customHeight="1">
      <c r="C631" s="1"/>
      <c r="E631" s="2"/>
    </row>
    <row r="632" spans="3:5" ht="14.25" customHeight="1">
      <c r="C632" s="1"/>
      <c r="E632" s="2"/>
    </row>
    <row r="633" spans="3:5" ht="14.25" customHeight="1">
      <c r="C633" s="1"/>
      <c r="E633" s="2"/>
    </row>
    <row r="634" spans="3:5" ht="14.25" customHeight="1">
      <c r="C634" s="1"/>
      <c r="E634" s="2"/>
    </row>
    <row r="635" spans="3:5" ht="14.25" customHeight="1">
      <c r="C635" s="1"/>
      <c r="E635" s="2"/>
    </row>
    <row r="636" spans="3:5" ht="14.25" customHeight="1">
      <c r="C636" s="1"/>
      <c r="E636" s="2"/>
    </row>
    <row r="637" spans="3:5" ht="14.25" customHeight="1">
      <c r="C637" s="1"/>
      <c r="E637" s="2"/>
    </row>
    <row r="638" spans="3:5" ht="14.25" customHeight="1">
      <c r="C638" s="1"/>
      <c r="E638" s="2"/>
    </row>
    <row r="639" spans="3:5" ht="14.25" customHeight="1">
      <c r="C639" s="1"/>
      <c r="E639" s="2"/>
    </row>
    <row r="640" spans="3:5" ht="14.25" customHeight="1">
      <c r="C640" s="1"/>
      <c r="E640" s="2"/>
    </row>
    <row r="641" spans="3:5" ht="14.25" customHeight="1">
      <c r="C641" s="1"/>
      <c r="E641" s="2"/>
    </row>
    <row r="642" spans="3:5" ht="14.25" customHeight="1">
      <c r="C642" s="1"/>
      <c r="E642" s="2"/>
    </row>
    <row r="643" spans="3:5" ht="14.25" customHeight="1">
      <c r="C643" s="1"/>
      <c r="E643" s="2"/>
    </row>
    <row r="644" spans="3:5" ht="14.25" customHeight="1">
      <c r="C644" s="1"/>
      <c r="E644" s="2"/>
    </row>
    <row r="645" spans="3:5" ht="14.25" customHeight="1">
      <c r="C645" s="1"/>
      <c r="E645" s="2"/>
    </row>
    <row r="646" spans="3:5" ht="14.25" customHeight="1">
      <c r="C646" s="1"/>
      <c r="E646" s="2"/>
    </row>
    <row r="647" spans="3:5" ht="14.25" customHeight="1">
      <c r="C647" s="1"/>
      <c r="E647" s="2"/>
    </row>
    <row r="648" spans="3:5" ht="14.25" customHeight="1">
      <c r="C648" s="1"/>
      <c r="E648" s="2"/>
    </row>
    <row r="649" spans="3:5" ht="14.25" customHeight="1">
      <c r="C649" s="1"/>
      <c r="E649" s="2"/>
    </row>
    <row r="650" spans="3:5" ht="14.25" customHeight="1">
      <c r="C650" s="1"/>
      <c r="E650" s="2"/>
    </row>
    <row r="651" spans="3:5" ht="14.25" customHeight="1">
      <c r="C651" s="1"/>
      <c r="E651" s="2"/>
    </row>
    <row r="652" spans="3:5" ht="14.25" customHeight="1">
      <c r="C652" s="1"/>
      <c r="E652" s="2"/>
    </row>
    <row r="653" spans="3:5" ht="14.25" customHeight="1">
      <c r="C653" s="1"/>
      <c r="E653" s="2"/>
    </row>
    <row r="654" spans="3:5" ht="14.25" customHeight="1">
      <c r="C654" s="1"/>
      <c r="E654" s="2"/>
    </row>
    <row r="655" spans="3:5" ht="14.25" customHeight="1">
      <c r="C655" s="1"/>
      <c r="E655" s="2"/>
    </row>
    <row r="656" spans="3:5" ht="14.25" customHeight="1">
      <c r="C656" s="1"/>
      <c r="E656" s="2"/>
    </row>
    <row r="657" spans="3:5" ht="14.25" customHeight="1">
      <c r="C657" s="1"/>
      <c r="E657" s="2"/>
    </row>
    <row r="658" spans="3:5" ht="14.25" customHeight="1">
      <c r="C658" s="1"/>
      <c r="E658" s="2"/>
    </row>
    <row r="659" spans="3:5" ht="14.25" customHeight="1">
      <c r="C659" s="1"/>
      <c r="E659" s="2"/>
    </row>
    <row r="660" spans="3:5" ht="14.25" customHeight="1">
      <c r="C660" s="1"/>
      <c r="E660" s="2"/>
    </row>
    <row r="661" spans="3:5" ht="14.25" customHeight="1">
      <c r="C661" s="1"/>
      <c r="E661" s="2"/>
    </row>
    <row r="662" spans="3:5" ht="14.25" customHeight="1">
      <c r="C662" s="1"/>
      <c r="E662" s="2"/>
    </row>
    <row r="663" spans="3:5" ht="14.25" customHeight="1">
      <c r="C663" s="1"/>
      <c r="E663" s="2"/>
    </row>
    <row r="664" spans="3:5" ht="14.25" customHeight="1">
      <c r="C664" s="1"/>
      <c r="E664" s="2"/>
    </row>
    <row r="665" spans="3:5" ht="14.25" customHeight="1">
      <c r="C665" s="1"/>
      <c r="E665" s="2"/>
    </row>
    <row r="666" spans="3:5" ht="14.25" customHeight="1">
      <c r="C666" s="1"/>
      <c r="E666" s="2"/>
    </row>
    <row r="667" spans="3:5" ht="14.25" customHeight="1">
      <c r="C667" s="1"/>
      <c r="E667" s="2"/>
    </row>
    <row r="668" spans="3:5" ht="14.25" customHeight="1">
      <c r="C668" s="1"/>
      <c r="E668" s="2"/>
    </row>
    <row r="669" spans="3:5" ht="14.25" customHeight="1">
      <c r="C669" s="1"/>
      <c r="E669" s="2"/>
    </row>
    <row r="670" spans="3:5" ht="14.25" customHeight="1">
      <c r="C670" s="1"/>
      <c r="E670" s="2"/>
    </row>
    <row r="671" spans="3:5" ht="14.25" customHeight="1">
      <c r="C671" s="1"/>
      <c r="E671" s="2"/>
    </row>
    <row r="672" spans="3:5" ht="14.25" customHeight="1">
      <c r="C672" s="1"/>
      <c r="E672" s="2"/>
    </row>
    <row r="673" spans="3:5" ht="14.25" customHeight="1">
      <c r="C673" s="1"/>
      <c r="E673" s="2"/>
    </row>
    <row r="674" spans="3:5" ht="14.25" customHeight="1">
      <c r="C674" s="1"/>
      <c r="E674" s="2"/>
    </row>
    <row r="675" spans="3:5" ht="14.25" customHeight="1">
      <c r="C675" s="1"/>
      <c r="E675" s="2"/>
    </row>
    <row r="676" spans="3:5" ht="14.25" customHeight="1">
      <c r="C676" s="1"/>
      <c r="E676" s="2"/>
    </row>
    <row r="677" spans="3:5" ht="14.25" customHeight="1">
      <c r="C677" s="1"/>
      <c r="E677" s="2"/>
    </row>
    <row r="678" spans="3:5" ht="14.25" customHeight="1">
      <c r="C678" s="1"/>
      <c r="E678" s="2"/>
    </row>
    <row r="679" spans="3:5" ht="14.25" customHeight="1">
      <c r="C679" s="1"/>
      <c r="E679" s="2"/>
    </row>
    <row r="680" spans="3:5" ht="14.25" customHeight="1">
      <c r="C680" s="1"/>
      <c r="E680" s="2"/>
    </row>
    <row r="681" spans="3:5" ht="14.25" customHeight="1">
      <c r="C681" s="1"/>
      <c r="E681" s="2"/>
    </row>
    <row r="682" spans="3:5" ht="14.25" customHeight="1">
      <c r="C682" s="1"/>
      <c r="E682" s="2"/>
    </row>
    <row r="683" spans="3:5" ht="14.25" customHeight="1">
      <c r="C683" s="1"/>
      <c r="E683" s="2"/>
    </row>
    <row r="684" spans="3:5" ht="14.25" customHeight="1">
      <c r="C684" s="1"/>
      <c r="E684" s="2"/>
    </row>
    <row r="685" spans="3:5" ht="14.25" customHeight="1">
      <c r="C685" s="1"/>
      <c r="E685" s="2"/>
    </row>
    <row r="686" spans="3:5" ht="14.25" customHeight="1">
      <c r="C686" s="1"/>
      <c r="E686" s="2"/>
    </row>
    <row r="687" spans="3:5" ht="14.25" customHeight="1">
      <c r="C687" s="1"/>
      <c r="E687" s="2"/>
    </row>
    <row r="688" spans="3:5" ht="14.25" customHeight="1">
      <c r="C688" s="1"/>
      <c r="E688" s="2"/>
    </row>
    <row r="689" spans="3:5" ht="14.25" customHeight="1">
      <c r="C689" s="1"/>
      <c r="E689" s="2"/>
    </row>
    <row r="690" spans="3:5" ht="14.25" customHeight="1">
      <c r="C690" s="1"/>
      <c r="E690" s="2"/>
    </row>
    <row r="691" spans="3:5" ht="14.25" customHeight="1">
      <c r="C691" s="1"/>
      <c r="E691" s="2"/>
    </row>
    <row r="692" spans="3:5" ht="14.25" customHeight="1">
      <c r="C692" s="1"/>
      <c r="E692" s="2"/>
    </row>
    <row r="693" spans="3:5" ht="14.25" customHeight="1">
      <c r="C693" s="1"/>
      <c r="E693" s="2"/>
    </row>
    <row r="694" spans="3:5" ht="14.25" customHeight="1">
      <c r="C694" s="1"/>
      <c r="E694" s="2"/>
    </row>
    <row r="695" spans="3:5" ht="14.25" customHeight="1">
      <c r="C695" s="1"/>
      <c r="E695" s="2"/>
    </row>
    <row r="696" spans="3:5" ht="14.25" customHeight="1">
      <c r="C696" s="1"/>
      <c r="E696" s="2"/>
    </row>
    <row r="697" spans="3:5" ht="14.25" customHeight="1">
      <c r="C697" s="1"/>
      <c r="E697" s="2"/>
    </row>
    <row r="698" spans="3:5" ht="14.25" customHeight="1">
      <c r="C698" s="1"/>
      <c r="E698" s="2"/>
    </row>
    <row r="699" spans="3:5" ht="14.25" customHeight="1">
      <c r="C699" s="1"/>
      <c r="E699" s="2"/>
    </row>
    <row r="700" spans="3:5" ht="14.25" customHeight="1">
      <c r="C700" s="1"/>
      <c r="E700" s="2"/>
    </row>
    <row r="701" spans="3:5" ht="14.25" customHeight="1">
      <c r="C701" s="1"/>
      <c r="E701" s="2"/>
    </row>
    <row r="702" spans="3:5" ht="14.25" customHeight="1">
      <c r="C702" s="1"/>
      <c r="E702" s="2"/>
    </row>
    <row r="703" spans="3:5" ht="14.25" customHeight="1">
      <c r="C703" s="1"/>
      <c r="E703" s="2"/>
    </row>
    <row r="704" spans="3:5" ht="14.25" customHeight="1">
      <c r="C704" s="1"/>
      <c r="E704" s="2"/>
    </row>
    <row r="705" spans="3:5" ht="14.25" customHeight="1">
      <c r="C705" s="1"/>
      <c r="E705" s="2"/>
    </row>
    <row r="706" spans="3:5" ht="14.25" customHeight="1">
      <c r="C706" s="1"/>
      <c r="E706" s="2"/>
    </row>
    <row r="707" spans="3:5" ht="14.25" customHeight="1">
      <c r="C707" s="1"/>
      <c r="E707" s="2"/>
    </row>
    <row r="708" spans="3:5" ht="14.25" customHeight="1">
      <c r="C708" s="1"/>
      <c r="E708" s="2"/>
    </row>
    <row r="709" spans="3:5" ht="14.25" customHeight="1">
      <c r="C709" s="1"/>
      <c r="E709" s="2"/>
    </row>
    <row r="710" spans="3:5" ht="14.25" customHeight="1">
      <c r="C710" s="1"/>
      <c r="E710" s="2"/>
    </row>
    <row r="711" spans="3:5" ht="14.25" customHeight="1">
      <c r="C711" s="1"/>
      <c r="E711" s="2"/>
    </row>
    <row r="712" spans="3:5" ht="14.25" customHeight="1">
      <c r="C712" s="1"/>
      <c r="E712" s="2"/>
    </row>
    <row r="713" spans="3:5" ht="14.25" customHeight="1">
      <c r="C713" s="1"/>
      <c r="E713" s="2"/>
    </row>
    <row r="714" spans="3:5" ht="14.25" customHeight="1">
      <c r="C714" s="1"/>
      <c r="E714" s="2"/>
    </row>
    <row r="715" spans="3:5" ht="14.25" customHeight="1">
      <c r="C715" s="1"/>
      <c r="E715" s="2"/>
    </row>
    <row r="716" spans="3:5" ht="14.25" customHeight="1">
      <c r="C716" s="1"/>
      <c r="E716" s="2"/>
    </row>
    <row r="717" spans="3:5" ht="14.25" customHeight="1">
      <c r="C717" s="1"/>
      <c r="E717" s="2"/>
    </row>
    <row r="718" spans="3:5" ht="14.25" customHeight="1">
      <c r="C718" s="1"/>
      <c r="E718" s="2"/>
    </row>
    <row r="719" spans="3:5" ht="14.25" customHeight="1">
      <c r="C719" s="1"/>
      <c r="E719" s="2"/>
    </row>
    <row r="720" spans="3:5" ht="14.25" customHeight="1">
      <c r="C720" s="1"/>
      <c r="E720" s="2"/>
    </row>
    <row r="721" spans="3:5" ht="14.25" customHeight="1">
      <c r="C721" s="1"/>
      <c r="E721" s="2"/>
    </row>
    <row r="722" spans="3:5" ht="14.25" customHeight="1">
      <c r="C722" s="1"/>
      <c r="E722" s="2"/>
    </row>
    <row r="723" spans="3:5" ht="14.25" customHeight="1">
      <c r="C723" s="1"/>
      <c r="E723" s="2"/>
    </row>
    <row r="724" spans="3:5" ht="14.25" customHeight="1">
      <c r="C724" s="1"/>
      <c r="E724" s="2"/>
    </row>
    <row r="725" spans="3:5" ht="14.25" customHeight="1">
      <c r="C725" s="1"/>
      <c r="E725" s="2"/>
    </row>
    <row r="726" spans="3:5" ht="14.25" customHeight="1">
      <c r="C726" s="1"/>
      <c r="E726" s="2"/>
    </row>
    <row r="727" spans="3:5" ht="14.25" customHeight="1">
      <c r="C727" s="1"/>
      <c r="E727" s="2"/>
    </row>
    <row r="728" spans="3:5" ht="14.25" customHeight="1">
      <c r="C728" s="1"/>
      <c r="E728" s="2"/>
    </row>
    <row r="729" spans="3:5" ht="14.25" customHeight="1">
      <c r="C729" s="1"/>
      <c r="E729" s="2"/>
    </row>
    <row r="730" spans="3:5" ht="14.25" customHeight="1">
      <c r="C730" s="1"/>
      <c r="E730" s="2"/>
    </row>
    <row r="731" spans="3:5" ht="14.25" customHeight="1">
      <c r="C731" s="1"/>
      <c r="E731" s="2"/>
    </row>
    <row r="732" spans="3:5" ht="14.25" customHeight="1">
      <c r="C732" s="1"/>
      <c r="E732" s="2"/>
    </row>
    <row r="733" spans="3:5" ht="14.25" customHeight="1">
      <c r="C733" s="1"/>
      <c r="E733" s="2"/>
    </row>
    <row r="734" spans="3:5" ht="14.25" customHeight="1">
      <c r="C734" s="1"/>
      <c r="E734" s="2"/>
    </row>
    <row r="735" spans="3:5" ht="14.25" customHeight="1">
      <c r="C735" s="1"/>
      <c r="E735" s="2"/>
    </row>
    <row r="736" spans="3:5" ht="14.25" customHeight="1">
      <c r="C736" s="1"/>
      <c r="E736" s="2"/>
    </row>
    <row r="737" spans="3:5" ht="14.25" customHeight="1">
      <c r="C737" s="1"/>
      <c r="E737" s="2"/>
    </row>
    <row r="738" spans="3:5" ht="14.25" customHeight="1">
      <c r="C738" s="1"/>
      <c r="E738" s="2"/>
    </row>
    <row r="739" spans="3:5" ht="14.25" customHeight="1">
      <c r="C739" s="1"/>
      <c r="E739" s="2"/>
    </row>
    <row r="740" spans="3:5" ht="14.25" customHeight="1">
      <c r="C740" s="1"/>
      <c r="E740" s="2"/>
    </row>
    <row r="741" spans="3:5" ht="14.25" customHeight="1">
      <c r="C741" s="1"/>
      <c r="E741" s="2"/>
    </row>
    <row r="742" spans="3:5" ht="14.25" customHeight="1">
      <c r="C742" s="1"/>
      <c r="E742" s="2"/>
    </row>
    <row r="743" spans="3:5" ht="14.25" customHeight="1">
      <c r="C743" s="1"/>
      <c r="E743" s="2"/>
    </row>
    <row r="744" spans="3:5" ht="14.25" customHeight="1">
      <c r="C744" s="1"/>
      <c r="E744" s="2"/>
    </row>
    <row r="745" spans="3:5" ht="14.25" customHeight="1">
      <c r="C745" s="1"/>
      <c r="E745" s="2"/>
    </row>
    <row r="746" spans="3:5" ht="14.25" customHeight="1">
      <c r="C746" s="1"/>
      <c r="E746" s="2"/>
    </row>
    <row r="747" spans="3:5" ht="14.25" customHeight="1">
      <c r="C747" s="1"/>
      <c r="E747" s="2"/>
    </row>
    <row r="748" spans="3:5" ht="14.25" customHeight="1">
      <c r="C748" s="1"/>
      <c r="E748" s="2"/>
    </row>
    <row r="749" spans="3:5" ht="14.25" customHeight="1">
      <c r="C749" s="1"/>
      <c r="E749" s="2"/>
    </row>
    <row r="750" spans="3:5" ht="14.25" customHeight="1">
      <c r="C750" s="1"/>
      <c r="E750" s="2"/>
    </row>
    <row r="751" spans="3:5" ht="14.25" customHeight="1">
      <c r="C751" s="1"/>
      <c r="E751" s="2"/>
    </row>
    <row r="752" spans="3:5" ht="14.25" customHeight="1">
      <c r="C752" s="1"/>
      <c r="E752" s="2"/>
    </row>
    <row r="753" spans="3:5" ht="14.25" customHeight="1">
      <c r="C753" s="1"/>
      <c r="E753" s="2"/>
    </row>
    <row r="754" spans="3:5" ht="14.25" customHeight="1">
      <c r="C754" s="1"/>
      <c r="E754" s="2"/>
    </row>
    <row r="755" spans="3:5" ht="14.25" customHeight="1">
      <c r="C755" s="1"/>
      <c r="E755" s="2"/>
    </row>
    <row r="756" spans="3:5" ht="14.25" customHeight="1">
      <c r="C756" s="1"/>
      <c r="E756" s="2"/>
    </row>
    <row r="757" spans="3:5" ht="14.25" customHeight="1">
      <c r="C757" s="1"/>
      <c r="E757" s="2"/>
    </row>
    <row r="758" spans="3:5" ht="14.25" customHeight="1">
      <c r="C758" s="1"/>
      <c r="E758" s="2"/>
    </row>
    <row r="759" spans="3:5" ht="14.25" customHeight="1">
      <c r="C759" s="1"/>
      <c r="E759" s="2"/>
    </row>
    <row r="760" spans="3:5" ht="14.25" customHeight="1">
      <c r="C760" s="1"/>
      <c r="E760" s="2"/>
    </row>
    <row r="761" spans="3:5" ht="14.25" customHeight="1">
      <c r="C761" s="1"/>
      <c r="E761" s="2"/>
    </row>
    <row r="762" spans="3:5" ht="14.25" customHeight="1">
      <c r="C762" s="1"/>
      <c r="E762" s="2"/>
    </row>
    <row r="763" spans="3:5" ht="14.25" customHeight="1">
      <c r="C763" s="1"/>
      <c r="E763" s="2"/>
    </row>
    <row r="764" spans="3:5" ht="14.25" customHeight="1">
      <c r="C764" s="1"/>
      <c r="E764" s="2"/>
    </row>
    <row r="765" spans="3:5" ht="14.25" customHeight="1">
      <c r="C765" s="1"/>
      <c r="E765" s="2"/>
    </row>
    <row r="766" spans="3:5" ht="14.25" customHeight="1">
      <c r="C766" s="1"/>
      <c r="E766" s="2"/>
    </row>
    <row r="767" spans="3:5" ht="14.25" customHeight="1">
      <c r="C767" s="1"/>
      <c r="E767" s="2"/>
    </row>
    <row r="768" spans="3:5" ht="14.25" customHeight="1">
      <c r="C768" s="1"/>
      <c r="E768" s="2"/>
    </row>
    <row r="769" spans="3:5" ht="14.25" customHeight="1">
      <c r="C769" s="1"/>
      <c r="E769" s="2"/>
    </row>
    <row r="770" spans="3:5" ht="14.25" customHeight="1">
      <c r="C770" s="1"/>
      <c r="E770" s="2"/>
    </row>
    <row r="771" spans="3:5" ht="14.25" customHeight="1">
      <c r="C771" s="1"/>
      <c r="E771" s="2"/>
    </row>
    <row r="772" spans="3:5" ht="14.25" customHeight="1">
      <c r="C772" s="1"/>
      <c r="E772" s="2"/>
    </row>
    <row r="773" spans="3:5" ht="14.25" customHeight="1">
      <c r="C773" s="1"/>
      <c r="E773" s="2"/>
    </row>
    <row r="774" spans="3:5" ht="14.25" customHeight="1">
      <c r="C774" s="1"/>
      <c r="E774" s="2"/>
    </row>
    <row r="775" spans="3:5" ht="14.25" customHeight="1">
      <c r="C775" s="1"/>
      <c r="E775" s="2"/>
    </row>
    <row r="776" spans="3:5" ht="14.25" customHeight="1">
      <c r="C776" s="1"/>
      <c r="E776" s="2"/>
    </row>
    <row r="777" spans="3:5" ht="14.25" customHeight="1">
      <c r="C777" s="1"/>
      <c r="E777" s="2"/>
    </row>
    <row r="778" spans="3:5" ht="14.25" customHeight="1">
      <c r="C778" s="1"/>
      <c r="E778" s="2"/>
    </row>
    <row r="779" spans="3:5" ht="14.25" customHeight="1">
      <c r="C779" s="1"/>
      <c r="E779" s="2"/>
    </row>
    <row r="780" spans="3:5" ht="14.25" customHeight="1">
      <c r="C780" s="1"/>
      <c r="E780" s="2"/>
    </row>
    <row r="781" spans="3:5" ht="14.25" customHeight="1">
      <c r="C781" s="1"/>
      <c r="E781" s="2"/>
    </row>
    <row r="782" spans="3:5" ht="14.25" customHeight="1">
      <c r="C782" s="1"/>
      <c r="E782" s="2"/>
    </row>
    <row r="783" spans="3:5" ht="14.25" customHeight="1">
      <c r="C783" s="1"/>
      <c r="E783" s="2"/>
    </row>
    <row r="784" spans="3:5" ht="14.25" customHeight="1">
      <c r="C784" s="1"/>
      <c r="E784" s="2"/>
    </row>
    <row r="785" spans="3:5" ht="14.25" customHeight="1">
      <c r="C785" s="1"/>
      <c r="E785" s="2"/>
    </row>
    <row r="786" spans="3:5" ht="14.25" customHeight="1">
      <c r="C786" s="1"/>
      <c r="E786" s="2"/>
    </row>
    <row r="787" spans="3:5" ht="14.25" customHeight="1">
      <c r="C787" s="1"/>
      <c r="E787" s="2"/>
    </row>
    <row r="788" spans="3:5" ht="14.25" customHeight="1">
      <c r="C788" s="1"/>
      <c r="E788" s="2"/>
    </row>
    <row r="789" spans="3:5" ht="14.25" customHeight="1">
      <c r="C789" s="1"/>
      <c r="E789" s="2"/>
    </row>
    <row r="790" spans="3:5" ht="14.25" customHeight="1">
      <c r="C790" s="1"/>
      <c r="E790" s="2"/>
    </row>
    <row r="791" spans="3:5" ht="14.25" customHeight="1">
      <c r="C791" s="1"/>
      <c r="E791" s="2"/>
    </row>
    <row r="792" spans="3:5" ht="14.25" customHeight="1">
      <c r="C792" s="1"/>
      <c r="E792" s="2"/>
    </row>
    <row r="793" spans="3:5" ht="14.25" customHeight="1">
      <c r="C793" s="1"/>
      <c r="E793" s="2"/>
    </row>
    <row r="794" spans="3:5" ht="14.25" customHeight="1">
      <c r="C794" s="1"/>
      <c r="E794" s="2"/>
    </row>
    <row r="795" spans="3:5" ht="14.25" customHeight="1">
      <c r="C795" s="1"/>
      <c r="E795" s="2"/>
    </row>
    <row r="796" spans="3:5" ht="14.25" customHeight="1">
      <c r="C796" s="1"/>
      <c r="E796" s="2"/>
    </row>
    <row r="797" spans="3:5" ht="14.25" customHeight="1">
      <c r="C797" s="1"/>
      <c r="E797" s="2"/>
    </row>
    <row r="798" spans="3:5" ht="14.25" customHeight="1">
      <c r="C798" s="1"/>
      <c r="E798" s="2"/>
    </row>
    <row r="799" spans="3:5" ht="14.25" customHeight="1">
      <c r="C799" s="1"/>
      <c r="E799" s="2"/>
    </row>
    <row r="800" spans="3:5" ht="14.25" customHeight="1">
      <c r="C800" s="1"/>
      <c r="E800" s="2"/>
    </row>
    <row r="801" spans="3:5" ht="14.25" customHeight="1">
      <c r="C801" s="1"/>
      <c r="E801" s="2"/>
    </row>
    <row r="802" spans="3:5" ht="14.25" customHeight="1">
      <c r="C802" s="1"/>
      <c r="E802" s="2"/>
    </row>
    <row r="803" spans="3:5" ht="14.25" customHeight="1">
      <c r="C803" s="1"/>
      <c r="E803" s="2"/>
    </row>
    <row r="804" spans="3:5" ht="14.25" customHeight="1">
      <c r="C804" s="1"/>
      <c r="E804" s="2"/>
    </row>
    <row r="805" spans="3:5" ht="14.25" customHeight="1">
      <c r="C805" s="1"/>
      <c r="E805" s="2"/>
    </row>
    <row r="806" spans="3:5" ht="14.25" customHeight="1">
      <c r="C806" s="1"/>
      <c r="E806" s="2"/>
    </row>
    <row r="807" spans="3:5" ht="14.25" customHeight="1">
      <c r="C807" s="1"/>
      <c r="E807" s="2"/>
    </row>
    <row r="808" spans="3:5" ht="14.25" customHeight="1">
      <c r="C808" s="1"/>
      <c r="E808" s="2"/>
    </row>
    <row r="809" spans="3:5" ht="14.25" customHeight="1">
      <c r="C809" s="1"/>
      <c r="E809" s="2"/>
    </row>
    <row r="810" spans="3:5" ht="14.25" customHeight="1">
      <c r="C810" s="1"/>
      <c r="E810" s="2"/>
    </row>
    <row r="811" spans="3:5" ht="14.25" customHeight="1">
      <c r="C811" s="1"/>
      <c r="E811" s="2"/>
    </row>
    <row r="812" spans="3:5" ht="14.25" customHeight="1">
      <c r="C812" s="1"/>
      <c r="E812" s="2"/>
    </row>
    <row r="813" spans="3:5" ht="14.25" customHeight="1">
      <c r="C813" s="1"/>
      <c r="E813" s="2"/>
    </row>
    <row r="814" spans="3:5" ht="14.25" customHeight="1">
      <c r="C814" s="1"/>
      <c r="E814" s="2"/>
    </row>
    <row r="815" spans="3:5" ht="14.25" customHeight="1">
      <c r="C815" s="1"/>
      <c r="E815" s="2"/>
    </row>
    <row r="816" spans="3:5" ht="14.25" customHeight="1">
      <c r="C816" s="1"/>
      <c r="E816" s="2"/>
    </row>
    <row r="817" spans="3:5" ht="14.25" customHeight="1">
      <c r="C817" s="1"/>
      <c r="E817" s="2"/>
    </row>
    <row r="818" spans="3:5" ht="14.25" customHeight="1">
      <c r="C818" s="1"/>
      <c r="E818" s="2"/>
    </row>
    <row r="819" spans="3:5" ht="14.25" customHeight="1">
      <c r="C819" s="1"/>
      <c r="E819" s="2"/>
    </row>
    <row r="820" spans="3:5" ht="14.25" customHeight="1">
      <c r="C820" s="1"/>
      <c r="E820" s="2"/>
    </row>
    <row r="821" spans="3:5" ht="14.25" customHeight="1">
      <c r="C821" s="1"/>
      <c r="E821" s="2"/>
    </row>
    <row r="822" spans="3:5" ht="14.25" customHeight="1">
      <c r="C822" s="1"/>
      <c r="E822" s="2"/>
    </row>
    <row r="823" spans="3:5" ht="14.25" customHeight="1">
      <c r="C823" s="1"/>
      <c r="E823" s="2"/>
    </row>
    <row r="824" spans="3:5" ht="14.25" customHeight="1">
      <c r="C824" s="1"/>
      <c r="E824" s="2"/>
    </row>
    <row r="825" spans="3:5" ht="14.25" customHeight="1">
      <c r="C825" s="1"/>
      <c r="E825" s="2"/>
    </row>
    <row r="826" spans="3:5" ht="14.25" customHeight="1">
      <c r="C826" s="1"/>
      <c r="E826" s="2"/>
    </row>
    <row r="827" spans="3:5" ht="14.25" customHeight="1">
      <c r="C827" s="1"/>
      <c r="E827" s="2"/>
    </row>
    <row r="828" spans="3:5" ht="14.25" customHeight="1">
      <c r="C828" s="1"/>
      <c r="E828" s="2"/>
    </row>
    <row r="829" spans="3:5" ht="14.25" customHeight="1">
      <c r="C829" s="1"/>
      <c r="E829" s="2"/>
    </row>
    <row r="830" spans="3:5" ht="14.25" customHeight="1">
      <c r="C830" s="1"/>
      <c r="E830" s="2"/>
    </row>
    <row r="831" spans="3:5" ht="14.25" customHeight="1">
      <c r="C831" s="1"/>
      <c r="E831" s="2"/>
    </row>
    <row r="832" spans="3:5" ht="14.25" customHeight="1">
      <c r="C832" s="1"/>
      <c r="E832" s="2"/>
    </row>
    <row r="833" spans="3:5" ht="14.25" customHeight="1">
      <c r="C833" s="1"/>
      <c r="E833" s="2"/>
    </row>
    <row r="834" spans="3:5" ht="14.25" customHeight="1">
      <c r="C834" s="1"/>
      <c r="E834" s="2"/>
    </row>
    <row r="835" spans="3:5" ht="14.25" customHeight="1">
      <c r="C835" s="1"/>
      <c r="E835" s="2"/>
    </row>
    <row r="836" spans="3:5" ht="14.25" customHeight="1">
      <c r="C836" s="1"/>
      <c r="E836" s="2"/>
    </row>
    <row r="837" spans="3:5" ht="14.25" customHeight="1">
      <c r="C837" s="1"/>
      <c r="E837" s="2"/>
    </row>
    <row r="838" spans="3:5" ht="14.25" customHeight="1">
      <c r="C838" s="1"/>
      <c r="E838" s="2"/>
    </row>
    <row r="839" spans="3:5" ht="14.25" customHeight="1">
      <c r="C839" s="1"/>
      <c r="E839" s="2"/>
    </row>
    <row r="840" spans="3:5" ht="14.25" customHeight="1">
      <c r="C840" s="1"/>
      <c r="E840" s="2"/>
    </row>
    <row r="841" spans="3:5" ht="14.25" customHeight="1">
      <c r="C841" s="1"/>
      <c r="E841" s="2"/>
    </row>
    <row r="842" spans="3:5" ht="14.25" customHeight="1">
      <c r="C842" s="1"/>
      <c r="E842" s="2"/>
    </row>
    <row r="843" spans="3:5" ht="14.25" customHeight="1">
      <c r="C843" s="1"/>
      <c r="E843" s="2"/>
    </row>
    <row r="844" spans="3:5" ht="14.25" customHeight="1">
      <c r="C844" s="1"/>
      <c r="E844" s="2"/>
    </row>
    <row r="845" spans="3:5" ht="14.25" customHeight="1">
      <c r="C845" s="1"/>
      <c r="E845" s="2"/>
    </row>
    <row r="846" spans="3:5" ht="14.25" customHeight="1">
      <c r="C846" s="1"/>
      <c r="E846" s="2"/>
    </row>
    <row r="847" spans="3:5" ht="14.25" customHeight="1">
      <c r="C847" s="1"/>
      <c r="E847" s="2"/>
    </row>
    <row r="848" spans="3:5" ht="14.25" customHeight="1">
      <c r="C848" s="1"/>
      <c r="E848" s="2"/>
    </row>
    <row r="849" spans="3:5" ht="14.25" customHeight="1">
      <c r="C849" s="1"/>
      <c r="E849" s="2"/>
    </row>
    <row r="850" spans="3:5" ht="14.25" customHeight="1">
      <c r="C850" s="1"/>
      <c r="E850" s="2"/>
    </row>
    <row r="851" spans="3:5" ht="14.25" customHeight="1">
      <c r="C851" s="1"/>
      <c r="E851" s="2"/>
    </row>
    <row r="852" spans="3:5" ht="14.25" customHeight="1">
      <c r="C852" s="1"/>
      <c r="E852" s="2"/>
    </row>
    <row r="853" spans="3:5" ht="14.25" customHeight="1">
      <c r="C853" s="1"/>
      <c r="E853" s="2"/>
    </row>
    <row r="854" spans="3:5" ht="14.25" customHeight="1">
      <c r="C854" s="1"/>
      <c r="E854" s="2"/>
    </row>
    <row r="855" spans="3:5" ht="14.25" customHeight="1">
      <c r="C855" s="1"/>
      <c r="E855" s="2"/>
    </row>
    <row r="856" spans="3:5" ht="14.25" customHeight="1">
      <c r="C856" s="1"/>
      <c r="E856" s="2"/>
    </row>
    <row r="857" spans="3:5" ht="14.25" customHeight="1">
      <c r="C857" s="1"/>
      <c r="E857" s="2"/>
    </row>
    <row r="858" spans="3:5" ht="14.25" customHeight="1">
      <c r="C858" s="1"/>
      <c r="E858" s="2"/>
    </row>
    <row r="859" spans="3:5" ht="14.25" customHeight="1">
      <c r="C859" s="1"/>
      <c r="E859" s="2"/>
    </row>
    <row r="860" spans="3:5" ht="14.25" customHeight="1">
      <c r="C860" s="1"/>
      <c r="E860" s="2"/>
    </row>
    <row r="861" spans="3:5" ht="14.25" customHeight="1">
      <c r="C861" s="1"/>
      <c r="E861" s="2"/>
    </row>
    <row r="862" spans="3:5" ht="14.25" customHeight="1">
      <c r="C862" s="1"/>
      <c r="E862" s="2"/>
    </row>
    <row r="863" spans="3:5" ht="14.25" customHeight="1">
      <c r="C863" s="1"/>
      <c r="E863" s="2"/>
    </row>
    <row r="864" spans="3:5" ht="14.25" customHeight="1">
      <c r="C864" s="1"/>
      <c r="E864" s="2"/>
    </row>
    <row r="865" spans="3:5" ht="14.25" customHeight="1">
      <c r="C865" s="1"/>
      <c r="E865" s="2"/>
    </row>
    <row r="866" spans="3:5" ht="14.25" customHeight="1">
      <c r="C866" s="1"/>
      <c r="E866" s="2"/>
    </row>
    <row r="867" spans="3:5" ht="14.25" customHeight="1">
      <c r="C867" s="1"/>
      <c r="E867" s="2"/>
    </row>
    <row r="868" spans="3:5" ht="14.25" customHeight="1">
      <c r="C868" s="1"/>
      <c r="E868" s="2"/>
    </row>
    <row r="869" spans="3:5" ht="14.25" customHeight="1">
      <c r="C869" s="1"/>
      <c r="E869" s="2"/>
    </row>
    <row r="870" spans="3:5" ht="14.25" customHeight="1">
      <c r="C870" s="1"/>
      <c r="E870" s="2"/>
    </row>
    <row r="871" spans="3:5" ht="14.25" customHeight="1">
      <c r="C871" s="1"/>
      <c r="E871" s="2"/>
    </row>
    <row r="872" spans="3:5" ht="14.25" customHeight="1">
      <c r="C872" s="1"/>
      <c r="E872" s="2"/>
    </row>
    <row r="873" spans="3:5" ht="14.25" customHeight="1">
      <c r="C873" s="1"/>
      <c r="E873" s="2"/>
    </row>
    <row r="874" spans="3:5" ht="14.25" customHeight="1">
      <c r="C874" s="1"/>
      <c r="E874" s="2"/>
    </row>
    <row r="875" spans="3:5" ht="14.25" customHeight="1">
      <c r="C875" s="1"/>
      <c r="E875" s="2"/>
    </row>
    <row r="876" spans="3:5" ht="14.25" customHeight="1">
      <c r="C876" s="1"/>
      <c r="E876" s="2"/>
    </row>
    <row r="877" spans="3:5" ht="14.25" customHeight="1">
      <c r="C877" s="1"/>
      <c r="E877" s="2"/>
    </row>
    <row r="878" spans="3:5" ht="14.25" customHeight="1">
      <c r="C878" s="1"/>
      <c r="E878" s="2"/>
    </row>
    <row r="879" spans="3:5" ht="14.25" customHeight="1">
      <c r="C879" s="1"/>
      <c r="E879" s="2"/>
    </row>
    <row r="880" spans="3:5" ht="14.25" customHeight="1">
      <c r="C880" s="1"/>
      <c r="E880" s="2"/>
    </row>
    <row r="881" spans="3:5" ht="14.25" customHeight="1">
      <c r="C881" s="1"/>
      <c r="E881" s="2"/>
    </row>
    <row r="882" spans="3:5" ht="14.25" customHeight="1">
      <c r="C882" s="1"/>
      <c r="E882" s="2"/>
    </row>
    <row r="883" spans="3:5" ht="14.25" customHeight="1">
      <c r="C883" s="1"/>
      <c r="E883" s="2"/>
    </row>
    <row r="884" spans="3:5" ht="14.25" customHeight="1">
      <c r="C884" s="1"/>
      <c r="E884" s="2"/>
    </row>
    <row r="885" spans="3:5" ht="14.25" customHeight="1">
      <c r="C885" s="1"/>
      <c r="E885" s="2"/>
    </row>
    <row r="886" spans="3:5" ht="14.25" customHeight="1">
      <c r="C886" s="1"/>
      <c r="E886" s="2"/>
    </row>
    <row r="887" spans="3:5" ht="14.25" customHeight="1">
      <c r="C887" s="1"/>
      <c r="E887" s="2"/>
    </row>
    <row r="888" spans="3:5" ht="14.25" customHeight="1">
      <c r="C888" s="1"/>
      <c r="E888" s="2"/>
    </row>
    <row r="889" spans="3:5" ht="14.25" customHeight="1">
      <c r="C889" s="1"/>
      <c r="E889" s="2"/>
    </row>
    <row r="890" spans="3:5" ht="14.25" customHeight="1">
      <c r="C890" s="1"/>
      <c r="E890" s="2"/>
    </row>
    <row r="891" spans="3:5" ht="14.25" customHeight="1">
      <c r="C891" s="1"/>
      <c r="E891" s="2"/>
    </row>
    <row r="892" spans="3:5" ht="14.25" customHeight="1">
      <c r="C892" s="1"/>
      <c r="E892" s="2"/>
    </row>
    <row r="893" spans="3:5" ht="14.25" customHeight="1">
      <c r="C893" s="1"/>
      <c r="E893" s="2"/>
    </row>
    <row r="894" spans="3:5" ht="14.25" customHeight="1">
      <c r="C894" s="1"/>
      <c r="E894" s="2"/>
    </row>
    <row r="895" spans="3:5" ht="14.25" customHeight="1">
      <c r="C895" s="1"/>
      <c r="E895" s="2"/>
    </row>
    <row r="896" spans="3:5" ht="14.25" customHeight="1">
      <c r="C896" s="1"/>
      <c r="E896" s="2"/>
    </row>
    <row r="897" spans="3:5" ht="14.25" customHeight="1">
      <c r="C897" s="1"/>
      <c r="E897" s="2"/>
    </row>
    <row r="898" spans="3:5" ht="14.25" customHeight="1">
      <c r="C898" s="1"/>
      <c r="E898" s="2"/>
    </row>
    <row r="899" spans="3:5" ht="14.25" customHeight="1">
      <c r="C899" s="1"/>
      <c r="E899" s="2"/>
    </row>
    <row r="900" spans="3:5" ht="14.25" customHeight="1">
      <c r="C900" s="1"/>
      <c r="E900" s="2"/>
    </row>
    <row r="901" spans="3:5" ht="14.25" customHeight="1">
      <c r="C901" s="1"/>
      <c r="E901" s="2"/>
    </row>
    <row r="902" spans="3:5" ht="14.25" customHeight="1">
      <c r="C902" s="1"/>
      <c r="E902" s="2"/>
    </row>
    <row r="903" spans="3:5" ht="14.25" customHeight="1">
      <c r="C903" s="1"/>
      <c r="E903" s="2"/>
    </row>
    <row r="904" spans="3:5" ht="14.25" customHeight="1">
      <c r="C904" s="1"/>
      <c r="E904" s="2"/>
    </row>
    <row r="905" spans="3:5" ht="14.25" customHeight="1">
      <c r="C905" s="1"/>
      <c r="E905" s="2"/>
    </row>
    <row r="906" spans="3:5" ht="14.25" customHeight="1">
      <c r="C906" s="1"/>
      <c r="E906" s="2"/>
    </row>
    <row r="907" spans="3:5" ht="14.25" customHeight="1">
      <c r="C907" s="1"/>
      <c r="E907" s="2"/>
    </row>
    <row r="908" spans="3:5" ht="14.25" customHeight="1">
      <c r="C908" s="1"/>
      <c r="E908" s="2"/>
    </row>
    <row r="909" spans="3:5" ht="14.25" customHeight="1">
      <c r="C909" s="1"/>
      <c r="E909" s="2"/>
    </row>
    <row r="910" spans="3:5" ht="14.25" customHeight="1">
      <c r="C910" s="1"/>
      <c r="E910" s="2"/>
    </row>
    <row r="911" spans="3:5" ht="14.25" customHeight="1">
      <c r="C911" s="1"/>
      <c r="E911" s="2"/>
    </row>
    <row r="912" spans="3:5" ht="14.25" customHeight="1">
      <c r="C912" s="1"/>
      <c r="E912" s="2"/>
    </row>
    <row r="913" spans="3:5" ht="14.25" customHeight="1">
      <c r="C913" s="1"/>
      <c r="E913" s="2"/>
    </row>
    <row r="914" spans="3:5" ht="14.25" customHeight="1">
      <c r="C914" s="1"/>
      <c r="E914" s="2"/>
    </row>
    <row r="915" spans="3:5" ht="14.25" customHeight="1">
      <c r="C915" s="1"/>
      <c r="E915" s="2"/>
    </row>
    <row r="916" spans="3:5" ht="14.25" customHeight="1">
      <c r="C916" s="1"/>
      <c r="E916" s="2"/>
    </row>
    <row r="917" spans="3:5" ht="14.25" customHeight="1">
      <c r="C917" s="1"/>
      <c r="E917" s="2"/>
    </row>
    <row r="918" spans="3:5" ht="14.25" customHeight="1">
      <c r="C918" s="1"/>
      <c r="E918" s="2"/>
    </row>
    <row r="919" spans="3:5" ht="14.25" customHeight="1">
      <c r="C919" s="1"/>
      <c r="E919" s="2"/>
    </row>
    <row r="920" spans="3:5" ht="14.25" customHeight="1">
      <c r="C920" s="1"/>
      <c r="E920" s="2"/>
    </row>
    <row r="921" spans="3:5" ht="14.25" customHeight="1">
      <c r="C921" s="1"/>
      <c r="E921" s="2"/>
    </row>
    <row r="922" spans="3:5" ht="14.25" customHeight="1">
      <c r="C922" s="1"/>
      <c r="E922" s="2"/>
    </row>
    <row r="923" spans="3:5" ht="14.25" customHeight="1">
      <c r="C923" s="1"/>
      <c r="E923" s="2"/>
    </row>
    <row r="924" spans="3:5" ht="14.25" customHeight="1">
      <c r="C924" s="1"/>
      <c r="E924" s="2"/>
    </row>
    <row r="925" spans="3:5" ht="14.25" customHeight="1">
      <c r="C925" s="1"/>
      <c r="E925" s="2"/>
    </row>
    <row r="926" spans="3:5" ht="14.25" customHeight="1">
      <c r="C926" s="1"/>
      <c r="E926" s="2"/>
    </row>
    <row r="927" spans="3:5" ht="14.25" customHeight="1">
      <c r="C927" s="1"/>
      <c r="E927" s="2"/>
    </row>
    <row r="928" spans="3:5" ht="14.25" customHeight="1">
      <c r="C928" s="1"/>
      <c r="E928" s="2"/>
    </row>
    <row r="929" spans="3:5" ht="14.25" customHeight="1">
      <c r="C929" s="1"/>
      <c r="E929" s="2"/>
    </row>
    <row r="930" spans="3:5" ht="14.25" customHeight="1">
      <c r="C930" s="1"/>
      <c r="E930" s="2"/>
    </row>
    <row r="931" spans="3:5" ht="14.25" customHeight="1">
      <c r="C931" s="1"/>
      <c r="E931" s="2"/>
    </row>
    <row r="932" spans="3:5" ht="14.25" customHeight="1">
      <c r="C932" s="1"/>
      <c r="E932" s="2"/>
    </row>
    <row r="933" spans="3:5" ht="14.25" customHeight="1">
      <c r="C933" s="1"/>
      <c r="E933" s="2"/>
    </row>
    <row r="934" spans="3:5" ht="14.25" customHeight="1">
      <c r="C934" s="1"/>
      <c r="E934" s="2"/>
    </row>
    <row r="935" spans="3:5" ht="14.25" customHeight="1">
      <c r="C935" s="1"/>
      <c r="E935" s="2"/>
    </row>
    <row r="936" spans="3:5" ht="14.25" customHeight="1">
      <c r="C936" s="1"/>
      <c r="E936" s="2"/>
    </row>
    <row r="937" spans="3:5" ht="14.25" customHeight="1">
      <c r="C937" s="1"/>
      <c r="E937" s="2"/>
    </row>
    <row r="938" spans="3:5" ht="14.25" customHeight="1">
      <c r="C938" s="1"/>
      <c r="E938" s="2"/>
    </row>
    <row r="939" spans="3:5" ht="14.25" customHeight="1">
      <c r="C939" s="1"/>
      <c r="E939" s="2"/>
    </row>
    <row r="940" spans="3:5" ht="14.25" customHeight="1">
      <c r="C940" s="1"/>
      <c r="E940" s="2"/>
    </row>
    <row r="941" spans="3:5" ht="14.25" customHeight="1">
      <c r="C941" s="1"/>
      <c r="E941" s="2"/>
    </row>
    <row r="942" spans="3:5" ht="14.25" customHeight="1">
      <c r="C942" s="1"/>
      <c r="E942" s="2"/>
    </row>
    <row r="943" spans="3:5" ht="14.25" customHeight="1">
      <c r="C943" s="1"/>
      <c r="E943" s="2"/>
    </row>
    <row r="944" spans="3:5" ht="14.25" customHeight="1">
      <c r="C944" s="1"/>
      <c r="E944" s="2"/>
    </row>
    <row r="945" spans="3:5" ht="14.25" customHeight="1">
      <c r="C945" s="1"/>
      <c r="E945" s="2"/>
    </row>
    <row r="946" spans="3:5" ht="14.25" customHeight="1">
      <c r="C946" s="1"/>
      <c r="E946" s="2"/>
    </row>
    <row r="947" spans="3:5" ht="14.25" customHeight="1">
      <c r="C947" s="1"/>
      <c r="E947" s="2"/>
    </row>
    <row r="948" spans="3:5" ht="14.25" customHeight="1">
      <c r="C948" s="1"/>
      <c r="E948" s="2"/>
    </row>
    <row r="949" spans="3:5" ht="14.25" customHeight="1">
      <c r="C949" s="1"/>
      <c r="E949" s="2"/>
    </row>
    <row r="950" spans="3:5" ht="14.25" customHeight="1">
      <c r="C950" s="1"/>
      <c r="E950" s="2"/>
    </row>
    <row r="951" spans="3:5" ht="14.25" customHeight="1">
      <c r="C951" s="1"/>
      <c r="E951" s="2"/>
    </row>
    <row r="952" spans="3:5" ht="14.25" customHeight="1">
      <c r="C952" s="1"/>
      <c r="E952" s="2"/>
    </row>
    <row r="953" spans="3:5" ht="14.25" customHeight="1">
      <c r="C953" s="1"/>
      <c r="E953" s="2"/>
    </row>
    <row r="954" spans="3:5" ht="14.25" customHeight="1">
      <c r="C954" s="1"/>
      <c r="E954" s="2"/>
    </row>
    <row r="955" spans="3:5" ht="14.25" customHeight="1">
      <c r="C955" s="1"/>
      <c r="E955" s="2"/>
    </row>
    <row r="956" spans="3:5" ht="14.25" customHeight="1">
      <c r="C956" s="1"/>
      <c r="E956" s="2"/>
    </row>
    <row r="957" spans="3:5" ht="14.25" customHeight="1">
      <c r="C957" s="1"/>
      <c r="E957" s="2"/>
    </row>
    <row r="958" spans="3:5" ht="14.25" customHeight="1">
      <c r="C958" s="1"/>
      <c r="E958" s="2"/>
    </row>
    <row r="959" spans="3:5" ht="14.25" customHeight="1">
      <c r="C959" s="1"/>
      <c r="E959" s="2"/>
    </row>
    <row r="960" spans="3:5" ht="14.25" customHeight="1">
      <c r="C960" s="1"/>
      <c r="E960" s="2"/>
    </row>
    <row r="961" spans="3:5" ht="14.25" customHeight="1">
      <c r="C961" s="1"/>
      <c r="E961" s="2"/>
    </row>
    <row r="962" spans="3:5" ht="14.25" customHeight="1">
      <c r="C962" s="1"/>
      <c r="E962" s="2"/>
    </row>
    <row r="963" spans="3:5" ht="14.25" customHeight="1">
      <c r="C963" s="1"/>
      <c r="E963" s="2"/>
    </row>
    <row r="964" spans="3:5" ht="14.25" customHeight="1">
      <c r="C964" s="1"/>
      <c r="E964" s="2"/>
    </row>
    <row r="965" spans="3:5" ht="14.25" customHeight="1">
      <c r="C965" s="1"/>
      <c r="E965" s="2"/>
    </row>
    <row r="966" spans="3:5" ht="14.25" customHeight="1">
      <c r="C966" s="1"/>
      <c r="E966" s="2"/>
    </row>
    <row r="967" spans="3:5" ht="14.25" customHeight="1">
      <c r="C967" s="1"/>
      <c r="E967" s="2"/>
    </row>
    <row r="968" spans="3:5" ht="14.25" customHeight="1">
      <c r="C968" s="1"/>
      <c r="E968" s="2"/>
    </row>
    <row r="969" spans="3:5" ht="14.25" customHeight="1">
      <c r="C969" s="1"/>
      <c r="E969" s="2"/>
    </row>
    <row r="970" spans="3:5" ht="14.25" customHeight="1">
      <c r="C970" s="1"/>
      <c r="E970" s="2"/>
    </row>
    <row r="971" spans="3:5" ht="14.25" customHeight="1">
      <c r="C971" s="1"/>
      <c r="E971" s="2"/>
    </row>
    <row r="972" spans="3:5" ht="14.25" customHeight="1">
      <c r="C972" s="1"/>
      <c r="E972" s="2"/>
    </row>
    <row r="973" spans="3:5" ht="14.25" customHeight="1">
      <c r="C973" s="1"/>
      <c r="E973" s="2"/>
    </row>
    <row r="974" spans="3:5" ht="14.25" customHeight="1">
      <c r="C974" s="1"/>
      <c r="E974" s="2"/>
    </row>
    <row r="975" spans="3:5" ht="14.25" customHeight="1">
      <c r="C975" s="1"/>
      <c r="E975" s="2"/>
    </row>
    <row r="976" spans="3:5" ht="14.25" customHeight="1">
      <c r="C976" s="1"/>
      <c r="E976" s="2"/>
    </row>
    <row r="977" spans="3:5" ht="14.25" customHeight="1">
      <c r="C977" s="1"/>
      <c r="E977" s="2"/>
    </row>
    <row r="978" spans="3:5" ht="14.25" customHeight="1">
      <c r="C978" s="1"/>
      <c r="E978" s="2"/>
    </row>
    <row r="979" spans="3:5" ht="14.25" customHeight="1">
      <c r="C979" s="1"/>
      <c r="E979" s="2"/>
    </row>
    <row r="980" spans="3:5" ht="14.25" customHeight="1">
      <c r="C980" s="1"/>
      <c r="E980" s="2"/>
    </row>
    <row r="981" spans="3:5" ht="14.25" customHeight="1">
      <c r="C981" s="1"/>
      <c r="E981" s="2"/>
    </row>
    <row r="982" spans="3:5" ht="14.25" customHeight="1">
      <c r="C982" s="1"/>
      <c r="E982" s="2"/>
    </row>
    <row r="983" spans="3:5" ht="14.25" customHeight="1">
      <c r="C983" s="1"/>
      <c r="E983" s="2"/>
    </row>
    <row r="984" spans="3:5" ht="14.25" customHeight="1">
      <c r="C984" s="1"/>
      <c r="E984" s="2"/>
    </row>
    <row r="985" spans="3:5" ht="14.25" customHeight="1">
      <c r="C985" s="1"/>
      <c r="E985" s="2"/>
    </row>
    <row r="986" spans="3:5" ht="14.25" customHeight="1">
      <c r="C986" s="1"/>
      <c r="E986" s="2"/>
    </row>
    <row r="987" spans="3:5" ht="14.25" customHeight="1">
      <c r="C987" s="1"/>
      <c r="E987" s="2"/>
    </row>
    <row r="988" spans="3:5" ht="14.25" customHeight="1">
      <c r="C988" s="1"/>
      <c r="E988" s="2"/>
    </row>
    <row r="989" spans="3:5" ht="14.25" customHeight="1">
      <c r="C989" s="1"/>
      <c r="E989" s="2"/>
    </row>
    <row r="990" spans="3:5" ht="14.25" customHeight="1">
      <c r="C990" s="1"/>
      <c r="E990" s="2"/>
    </row>
    <row r="991" spans="3:5" ht="14.25" customHeight="1">
      <c r="C991" s="1"/>
      <c r="E991" s="2"/>
    </row>
    <row r="992" spans="3:5" ht="14.25" customHeight="1">
      <c r="C992" s="1"/>
      <c r="E992" s="2"/>
    </row>
    <row r="993" spans="3:5" ht="14.25" customHeight="1">
      <c r="C993" s="1"/>
      <c r="E993" s="2"/>
    </row>
    <row r="994" spans="3:5" ht="14.25" customHeight="1">
      <c r="C994" s="1"/>
      <c r="E994" s="2"/>
    </row>
    <row r="995" spans="3:5" ht="14.25" customHeight="1">
      <c r="C995" s="1"/>
      <c r="E995" s="2"/>
    </row>
    <row r="996" spans="3:5" ht="14.25" customHeight="1">
      <c r="C996" s="1"/>
      <c r="E996" s="2"/>
    </row>
    <row r="997" spans="3:5" ht="14.25" customHeight="1">
      <c r="C997" s="1"/>
      <c r="E997" s="2"/>
    </row>
    <row r="998" spans="3:5" ht="14.25" customHeight="1">
      <c r="C998" s="1"/>
      <c r="E998" s="2"/>
    </row>
    <row r="999" spans="3:5" ht="14.25" customHeight="1">
      <c r="C999" s="1"/>
      <c r="E999" s="2"/>
    </row>
    <row r="1000" spans="3:5" ht="14.25" customHeight="1">
      <c r="C1000" s="1"/>
      <c r="E1000" s="2"/>
    </row>
  </sheetData>
  <dataValidations count="5">
    <dataValidation type="list" allowBlank="1" showErrorMessage="1" sqref="C2" xr:uid="{00000000-0002-0000-0000-000000000000}">
      <formula1>"Elysian,Flaine,Garmisch,Hakuba,Innsbruck"</formula1>
    </dataValidation>
    <dataValidation type="list" allowBlank="1" showErrorMessage="1" sqref="C3" xr:uid="{00000000-0002-0000-0000-000001000000}">
      <formula1>"Aspen,Banff,10"</formula1>
    </dataValidation>
    <dataValidation type="list" allowBlank="1" showErrorMessage="1" sqref="C4:C1000" xr:uid="{00000000-0002-0000-0000-000002000000}">
      <formula1>"Aspen,Banff. 10"</formula1>
    </dataValidation>
    <dataValidation type="list" allowBlank="1" showErrorMessage="1" sqref="F2" xr:uid="{00000000-0002-0000-0000-000003000000}">
      <formula1>"Cloud,Self-Managed"</formula1>
    </dataValidation>
    <dataValidation type="list" allowBlank="1" showErrorMessage="1" sqref="H2" xr:uid="{00000000-0002-0000-0000-000004000000}">
      <formula1>"APAC,EMEA,AMER,LATAM"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263E-E855-4919-B676-6E83FE83D77A}">
  <dimension ref="B5:Y36"/>
  <sheetViews>
    <sheetView showGridLines="0" zoomScale="90" zoomScaleNormal="90" workbookViewId="0">
      <selection activeCell="U1" sqref="U1:AC1048576"/>
    </sheetView>
  </sheetViews>
  <sheetFormatPr defaultRowHeight="14.45"/>
  <cols>
    <col min="1" max="1" width="4.85546875" customWidth="1"/>
    <col min="2" max="2" width="12.5703125" bestFit="1" customWidth="1"/>
    <col min="3" max="3" width="17.140625" bestFit="1" customWidth="1"/>
    <col min="4" max="4" width="12.42578125" bestFit="1" customWidth="1"/>
    <col min="5" max="6" width="14" bestFit="1" customWidth="1"/>
    <col min="7" max="7" width="11" bestFit="1" customWidth="1"/>
    <col min="8" max="8" width="20.5703125" customWidth="1"/>
    <col min="11" max="11" width="16.5703125" customWidth="1"/>
    <col min="12" max="12" width="23.140625" customWidth="1"/>
    <col min="13" max="13" width="7.5703125" bestFit="1" customWidth="1"/>
    <col min="14" max="15" width="14" bestFit="1" customWidth="1"/>
    <col min="16" max="16" width="11" bestFit="1" customWidth="1"/>
    <col min="24" max="24" width="10.85546875" customWidth="1"/>
  </cols>
  <sheetData>
    <row r="5" spans="2:25">
      <c r="B5" s="143" t="s">
        <v>13</v>
      </c>
      <c r="C5" s="143"/>
      <c r="D5" s="143"/>
      <c r="E5" s="143"/>
      <c r="F5" s="143"/>
      <c r="G5" s="143"/>
      <c r="K5" s="143" t="s">
        <v>13</v>
      </c>
      <c r="L5" s="143"/>
      <c r="M5" s="143"/>
      <c r="N5" s="143"/>
      <c r="O5" s="143"/>
      <c r="P5" s="143"/>
      <c r="X5" s="69"/>
      <c r="Y5" s="69"/>
    </row>
    <row r="6" spans="2:25">
      <c r="B6" s="84" t="s">
        <v>14</v>
      </c>
      <c r="E6" s="84" t="s">
        <v>15</v>
      </c>
      <c r="K6" s="84" t="s">
        <v>14</v>
      </c>
      <c r="N6" s="84" t="s">
        <v>15</v>
      </c>
      <c r="W6" t="s">
        <v>16</v>
      </c>
      <c r="X6" s="69" t="s">
        <v>17</v>
      </c>
      <c r="Y6" s="69"/>
    </row>
    <row r="7" spans="2:25">
      <c r="B7" s="84" t="s">
        <v>18</v>
      </c>
      <c r="C7" s="84" t="s">
        <v>19</v>
      </c>
      <c r="D7" s="84" t="s">
        <v>20</v>
      </c>
      <c r="E7" s="69" t="s">
        <v>21</v>
      </c>
      <c r="F7" s="69" t="s">
        <v>22</v>
      </c>
      <c r="G7" s="69" t="s">
        <v>23</v>
      </c>
      <c r="K7" s="84" t="s">
        <v>20</v>
      </c>
      <c r="L7" s="84" t="s">
        <v>18</v>
      </c>
      <c r="M7" s="84" t="s">
        <v>19</v>
      </c>
      <c r="N7" s="69" t="s">
        <v>21</v>
      </c>
      <c r="O7" s="69" t="s">
        <v>22</v>
      </c>
      <c r="P7" s="69" t="s">
        <v>23</v>
      </c>
      <c r="W7" t="s">
        <v>24</v>
      </c>
      <c r="X7" s="69" t="s">
        <v>17</v>
      </c>
      <c r="Y7" s="69"/>
    </row>
    <row r="8" spans="2:25">
      <c r="B8" t="s">
        <v>25</v>
      </c>
      <c r="E8" s="69">
        <v>5</v>
      </c>
      <c r="F8" s="69">
        <v>3</v>
      </c>
      <c r="G8" s="69">
        <v>8</v>
      </c>
      <c r="H8" s="96">
        <f>E8/G8</f>
        <v>0.625</v>
      </c>
      <c r="K8" t="s">
        <v>26</v>
      </c>
      <c r="N8" s="69">
        <v>8</v>
      </c>
      <c r="O8" s="69">
        <v>6</v>
      </c>
      <c r="P8" s="69">
        <v>14</v>
      </c>
      <c r="Q8" s="96">
        <f>N8/P8</f>
        <v>0.5714285714285714</v>
      </c>
      <c r="W8" s="69" t="s">
        <v>27</v>
      </c>
      <c r="X8" s="69" t="s">
        <v>17</v>
      </c>
      <c r="Y8" s="69"/>
    </row>
    <row r="9" spans="2:25">
      <c r="C9" t="s">
        <v>28</v>
      </c>
      <c r="E9" s="69">
        <v>2</v>
      </c>
      <c r="F9" s="69">
        <v>2</v>
      </c>
      <c r="G9" s="69">
        <v>4</v>
      </c>
      <c r="H9" s="96">
        <f t="shared" ref="H9:H35" si="0">E9/G9</f>
        <v>0.5</v>
      </c>
      <c r="L9" t="s">
        <v>25</v>
      </c>
      <c r="N9" s="69">
        <v>3</v>
      </c>
      <c r="O9" s="69">
        <v>2</v>
      </c>
      <c r="P9" s="69">
        <v>5</v>
      </c>
      <c r="Q9" s="96">
        <f t="shared" ref="Q9:Q35" si="1">N9/P9</f>
        <v>0.6</v>
      </c>
      <c r="W9" t="s">
        <v>29</v>
      </c>
      <c r="X9" s="69" t="s">
        <v>17</v>
      </c>
      <c r="Y9" s="69" t="s">
        <v>30</v>
      </c>
    </row>
    <row r="10" spans="2:25">
      <c r="D10" t="s">
        <v>26</v>
      </c>
      <c r="E10" s="69">
        <v>1</v>
      </c>
      <c r="F10" s="69">
        <v>2</v>
      </c>
      <c r="G10" s="69">
        <v>3</v>
      </c>
      <c r="H10" s="96">
        <f t="shared" si="0"/>
        <v>0.33333333333333331</v>
      </c>
      <c r="L10" t="s">
        <v>31</v>
      </c>
      <c r="N10" s="69"/>
      <c r="O10" s="69">
        <v>1</v>
      </c>
      <c r="P10" s="69">
        <v>1</v>
      </c>
      <c r="Q10" s="96">
        <f t="shared" si="1"/>
        <v>0</v>
      </c>
      <c r="X10" s="97">
        <v>4</v>
      </c>
      <c r="Y10" s="97">
        <v>1</v>
      </c>
    </row>
    <row r="11" spans="2:25">
      <c r="D11" t="s">
        <v>32</v>
      </c>
      <c r="E11" s="69">
        <v>1</v>
      </c>
      <c r="F11" s="69"/>
      <c r="G11" s="69">
        <v>1</v>
      </c>
      <c r="H11" s="96">
        <f t="shared" si="0"/>
        <v>1</v>
      </c>
      <c r="L11" t="s">
        <v>33</v>
      </c>
      <c r="N11" s="69">
        <v>4</v>
      </c>
      <c r="O11" s="69">
        <v>1</v>
      </c>
      <c r="P11" s="69">
        <v>5</v>
      </c>
      <c r="Q11" s="96">
        <f t="shared" si="1"/>
        <v>0.8</v>
      </c>
    </row>
    <row r="12" spans="2:25">
      <c r="C12" t="s">
        <v>34</v>
      </c>
      <c r="E12" s="69">
        <v>3</v>
      </c>
      <c r="F12" s="69">
        <v>1</v>
      </c>
      <c r="G12" s="69">
        <v>4</v>
      </c>
      <c r="H12" s="96">
        <f t="shared" si="0"/>
        <v>0.75</v>
      </c>
      <c r="L12" t="s">
        <v>35</v>
      </c>
      <c r="N12" s="69">
        <v>1</v>
      </c>
      <c r="O12" s="69">
        <v>1</v>
      </c>
      <c r="P12" s="69">
        <v>2</v>
      </c>
      <c r="Q12" s="96">
        <f t="shared" si="1"/>
        <v>0.5</v>
      </c>
      <c r="X12" s="98">
        <f>7/19</f>
        <v>0.36842105263157893</v>
      </c>
    </row>
    <row r="13" spans="2:25">
      <c r="D13" t="s">
        <v>26</v>
      </c>
      <c r="E13" s="69">
        <v>2</v>
      </c>
      <c r="F13" s="69"/>
      <c r="G13" s="69">
        <v>2</v>
      </c>
      <c r="H13" s="96">
        <f t="shared" si="0"/>
        <v>1</v>
      </c>
      <c r="L13" t="s">
        <v>36</v>
      </c>
      <c r="N13" s="69"/>
      <c r="O13" s="69">
        <v>1</v>
      </c>
      <c r="P13" s="69">
        <v>1</v>
      </c>
      <c r="Q13" s="96">
        <f t="shared" si="1"/>
        <v>0</v>
      </c>
      <c r="X13" s="98">
        <f>1/5</f>
        <v>0.2</v>
      </c>
    </row>
    <row r="14" spans="2:25">
      <c r="D14" t="s">
        <v>32</v>
      </c>
      <c r="E14" s="69">
        <v>1</v>
      </c>
      <c r="F14" s="69">
        <v>1</v>
      </c>
      <c r="G14" s="69">
        <v>2</v>
      </c>
      <c r="H14" s="96">
        <f t="shared" si="0"/>
        <v>0.5</v>
      </c>
      <c r="K14" t="s">
        <v>32</v>
      </c>
      <c r="N14" s="69">
        <v>7</v>
      </c>
      <c r="O14" s="69">
        <v>5</v>
      </c>
      <c r="P14" s="69">
        <v>12</v>
      </c>
      <c r="Q14" s="96">
        <f t="shared" si="1"/>
        <v>0.58333333333333337</v>
      </c>
    </row>
    <row r="15" spans="2:25">
      <c r="B15" t="s">
        <v>31</v>
      </c>
      <c r="E15" s="69">
        <v>2</v>
      </c>
      <c r="F15" s="69">
        <v>2</v>
      </c>
      <c r="G15" s="69">
        <v>4</v>
      </c>
      <c r="H15" s="96">
        <f t="shared" si="0"/>
        <v>0.5</v>
      </c>
      <c r="L15" t="s">
        <v>25</v>
      </c>
      <c r="N15" s="69">
        <v>2</v>
      </c>
      <c r="O15" s="69">
        <v>1</v>
      </c>
      <c r="P15" s="69">
        <v>3</v>
      </c>
      <c r="Q15" s="96">
        <f t="shared" si="1"/>
        <v>0.66666666666666663</v>
      </c>
    </row>
    <row r="16" spans="2:25">
      <c r="C16" t="s">
        <v>28</v>
      </c>
      <c r="E16" s="69">
        <v>1</v>
      </c>
      <c r="F16" s="69">
        <v>1</v>
      </c>
      <c r="G16" s="69">
        <v>2</v>
      </c>
      <c r="H16" s="96">
        <f t="shared" si="0"/>
        <v>0.5</v>
      </c>
      <c r="L16" t="s">
        <v>31</v>
      </c>
      <c r="N16" s="69">
        <v>2</v>
      </c>
      <c r="O16" s="69">
        <v>1</v>
      </c>
      <c r="P16" s="69">
        <v>3</v>
      </c>
      <c r="Q16" s="96">
        <f t="shared" si="1"/>
        <v>0.66666666666666663</v>
      </c>
    </row>
    <row r="17" spans="2:17">
      <c r="D17" t="s">
        <v>26</v>
      </c>
      <c r="E17" s="69"/>
      <c r="F17" s="69">
        <v>1</v>
      </c>
      <c r="G17" s="69">
        <v>1</v>
      </c>
      <c r="H17" s="96">
        <f t="shared" si="0"/>
        <v>0</v>
      </c>
      <c r="L17" t="s">
        <v>33</v>
      </c>
      <c r="N17" s="69">
        <v>2</v>
      </c>
      <c r="O17" s="69">
        <v>1</v>
      </c>
      <c r="P17" s="69">
        <v>3</v>
      </c>
      <c r="Q17" s="96">
        <f t="shared" si="1"/>
        <v>0.66666666666666663</v>
      </c>
    </row>
    <row r="18" spans="2:17">
      <c r="D18" t="s">
        <v>32</v>
      </c>
      <c r="E18" s="69">
        <v>1</v>
      </c>
      <c r="F18" s="69"/>
      <c r="G18" s="69">
        <v>1</v>
      </c>
      <c r="H18" s="96">
        <f t="shared" si="0"/>
        <v>1</v>
      </c>
      <c r="L18" t="s">
        <v>37</v>
      </c>
      <c r="N18" s="69"/>
      <c r="O18" s="69">
        <v>1</v>
      </c>
      <c r="P18" s="69">
        <v>1</v>
      </c>
      <c r="Q18" s="96">
        <f t="shared" si="1"/>
        <v>0</v>
      </c>
    </row>
    <row r="19" spans="2:17">
      <c r="C19" t="s">
        <v>34</v>
      </c>
      <c r="E19" s="69">
        <v>1</v>
      </c>
      <c r="F19" s="69">
        <v>1</v>
      </c>
      <c r="G19" s="69">
        <v>2</v>
      </c>
      <c r="H19" s="96">
        <f t="shared" si="0"/>
        <v>0.5</v>
      </c>
      <c r="L19" t="s">
        <v>36</v>
      </c>
      <c r="N19" s="69">
        <v>1</v>
      </c>
      <c r="O19" s="69">
        <v>1</v>
      </c>
      <c r="P19" s="69">
        <v>2</v>
      </c>
      <c r="Q19" s="96">
        <f t="shared" si="1"/>
        <v>0.5</v>
      </c>
    </row>
    <row r="20" spans="2:17">
      <c r="D20" t="s">
        <v>32</v>
      </c>
      <c r="E20" s="69">
        <v>1</v>
      </c>
      <c r="F20" s="69">
        <v>1</v>
      </c>
      <c r="G20" s="69">
        <v>2</v>
      </c>
      <c r="H20" s="96">
        <f t="shared" si="0"/>
        <v>0.5</v>
      </c>
      <c r="K20" t="s">
        <v>23</v>
      </c>
      <c r="N20" s="69">
        <v>15</v>
      </c>
      <c r="O20" s="69">
        <v>11</v>
      </c>
      <c r="P20" s="69">
        <v>26</v>
      </c>
      <c r="Q20" s="96">
        <f t="shared" si="1"/>
        <v>0.57692307692307687</v>
      </c>
    </row>
    <row r="21" spans="2:17">
      <c r="B21" t="s">
        <v>33</v>
      </c>
      <c r="E21" s="69">
        <v>6</v>
      </c>
      <c r="F21" s="69">
        <v>2</v>
      </c>
      <c r="G21" s="69">
        <v>8</v>
      </c>
      <c r="H21" s="96">
        <f t="shared" si="0"/>
        <v>0.75</v>
      </c>
      <c r="Q21" s="96" t="e">
        <f t="shared" si="1"/>
        <v>#DIV/0!</v>
      </c>
    </row>
    <row r="22" spans="2:17">
      <c r="C22" t="s">
        <v>34</v>
      </c>
      <c r="E22" s="69">
        <v>6</v>
      </c>
      <c r="F22" s="69">
        <v>2</v>
      </c>
      <c r="G22" s="69">
        <v>8</v>
      </c>
      <c r="H22" s="96">
        <f t="shared" si="0"/>
        <v>0.75</v>
      </c>
      <c r="Q22" s="96" t="e">
        <f t="shared" si="1"/>
        <v>#DIV/0!</v>
      </c>
    </row>
    <row r="23" spans="2:17">
      <c r="D23" t="s">
        <v>26</v>
      </c>
      <c r="E23" s="69">
        <v>4</v>
      </c>
      <c r="F23" s="69">
        <v>1</v>
      </c>
      <c r="G23" s="69">
        <v>5</v>
      </c>
      <c r="H23" s="96">
        <f t="shared" si="0"/>
        <v>0.8</v>
      </c>
      <c r="Q23" s="96" t="e">
        <f t="shared" si="1"/>
        <v>#DIV/0!</v>
      </c>
    </row>
    <row r="24" spans="2:17">
      <c r="D24" t="s">
        <v>32</v>
      </c>
      <c r="E24" s="69">
        <v>2</v>
      </c>
      <c r="F24" s="69">
        <v>1</v>
      </c>
      <c r="G24" s="69">
        <v>3</v>
      </c>
      <c r="H24" s="96">
        <f t="shared" si="0"/>
        <v>0.66666666666666663</v>
      </c>
      <c r="Q24" s="96" t="e">
        <f t="shared" si="1"/>
        <v>#DIV/0!</v>
      </c>
    </row>
    <row r="25" spans="2:17">
      <c r="B25" t="s">
        <v>35</v>
      </c>
      <c r="E25" s="69">
        <v>1</v>
      </c>
      <c r="F25" s="69">
        <v>1</v>
      </c>
      <c r="G25" s="69">
        <v>2</v>
      </c>
      <c r="H25" s="96">
        <f t="shared" si="0"/>
        <v>0.5</v>
      </c>
      <c r="Q25" s="96" t="e">
        <f t="shared" si="1"/>
        <v>#DIV/0!</v>
      </c>
    </row>
    <row r="26" spans="2:17">
      <c r="C26" t="s">
        <v>34</v>
      </c>
      <c r="E26" s="69">
        <v>1</v>
      </c>
      <c r="F26" s="69">
        <v>1</v>
      </c>
      <c r="G26" s="69">
        <v>2</v>
      </c>
      <c r="H26" s="96">
        <f t="shared" si="0"/>
        <v>0.5</v>
      </c>
      <c r="Q26" s="96" t="e">
        <f t="shared" si="1"/>
        <v>#DIV/0!</v>
      </c>
    </row>
    <row r="27" spans="2:17">
      <c r="D27" t="s">
        <v>26</v>
      </c>
      <c r="E27" s="69">
        <v>1</v>
      </c>
      <c r="F27" s="69">
        <v>1</v>
      </c>
      <c r="G27" s="69">
        <v>2</v>
      </c>
      <c r="H27" s="96">
        <f t="shared" si="0"/>
        <v>0.5</v>
      </c>
      <c r="Q27" s="96" t="e">
        <f t="shared" si="1"/>
        <v>#DIV/0!</v>
      </c>
    </row>
    <row r="28" spans="2:17">
      <c r="B28" t="s">
        <v>37</v>
      </c>
      <c r="E28" s="69"/>
      <c r="F28" s="69">
        <v>1</v>
      </c>
      <c r="G28" s="69">
        <v>1</v>
      </c>
      <c r="H28" s="96">
        <f t="shared" si="0"/>
        <v>0</v>
      </c>
      <c r="Q28" s="96" t="e">
        <f t="shared" si="1"/>
        <v>#DIV/0!</v>
      </c>
    </row>
    <row r="29" spans="2:17">
      <c r="C29" t="s">
        <v>34</v>
      </c>
      <c r="E29" s="69"/>
      <c r="F29" s="69">
        <v>1</v>
      </c>
      <c r="G29" s="69">
        <v>1</v>
      </c>
      <c r="H29" s="96">
        <f t="shared" si="0"/>
        <v>0</v>
      </c>
      <c r="Q29" s="96" t="e">
        <f t="shared" si="1"/>
        <v>#DIV/0!</v>
      </c>
    </row>
    <row r="30" spans="2:17">
      <c r="D30" t="s">
        <v>32</v>
      </c>
      <c r="E30" s="69"/>
      <c r="F30" s="69">
        <v>1</v>
      </c>
      <c r="G30" s="69">
        <v>1</v>
      </c>
      <c r="H30" s="96">
        <f t="shared" si="0"/>
        <v>0</v>
      </c>
      <c r="Q30" s="96" t="e">
        <f t="shared" si="1"/>
        <v>#DIV/0!</v>
      </c>
    </row>
    <row r="31" spans="2:17">
      <c r="B31" t="s">
        <v>36</v>
      </c>
      <c r="E31" s="69">
        <v>1</v>
      </c>
      <c r="F31" s="69">
        <v>2</v>
      </c>
      <c r="G31" s="69">
        <v>3</v>
      </c>
      <c r="H31" s="96">
        <f t="shared" si="0"/>
        <v>0.33333333333333331</v>
      </c>
      <c r="Q31" s="96" t="e">
        <f t="shared" si="1"/>
        <v>#DIV/0!</v>
      </c>
    </row>
    <row r="32" spans="2:17">
      <c r="C32" t="s">
        <v>38</v>
      </c>
      <c r="E32" s="69">
        <v>1</v>
      </c>
      <c r="F32" s="69">
        <v>2</v>
      </c>
      <c r="G32" s="69">
        <v>3</v>
      </c>
      <c r="H32" s="96">
        <f t="shared" si="0"/>
        <v>0.33333333333333331</v>
      </c>
      <c r="Q32" s="96" t="e">
        <f t="shared" si="1"/>
        <v>#DIV/0!</v>
      </c>
    </row>
    <row r="33" spans="2:17">
      <c r="D33" t="s">
        <v>26</v>
      </c>
      <c r="E33" s="69"/>
      <c r="F33" s="69">
        <v>1</v>
      </c>
      <c r="G33" s="69">
        <v>1</v>
      </c>
      <c r="H33" s="96">
        <f t="shared" si="0"/>
        <v>0</v>
      </c>
      <c r="Q33" s="96" t="e">
        <f t="shared" si="1"/>
        <v>#DIV/0!</v>
      </c>
    </row>
    <row r="34" spans="2:17">
      <c r="D34" t="s">
        <v>32</v>
      </c>
      <c r="E34" s="69">
        <v>1</v>
      </c>
      <c r="F34" s="69">
        <v>1</v>
      </c>
      <c r="G34" s="69">
        <v>2</v>
      </c>
      <c r="H34" s="96">
        <f t="shared" si="0"/>
        <v>0.5</v>
      </c>
      <c r="Q34" s="96" t="e">
        <f t="shared" si="1"/>
        <v>#DIV/0!</v>
      </c>
    </row>
    <row r="35" spans="2:17">
      <c r="B35" t="s">
        <v>23</v>
      </c>
      <c r="E35" s="69">
        <v>15</v>
      </c>
      <c r="F35" s="69">
        <v>11</v>
      </c>
      <c r="G35" s="69">
        <v>26</v>
      </c>
      <c r="H35" s="96">
        <f t="shared" si="0"/>
        <v>0.57692307692307687</v>
      </c>
      <c r="Q35" s="96" t="e">
        <f t="shared" si="1"/>
        <v>#DIV/0!</v>
      </c>
    </row>
    <row r="36" spans="2:17" hidden="1">
      <c r="H36" s="95">
        <v>1</v>
      </c>
    </row>
  </sheetData>
  <mergeCells count="2">
    <mergeCell ref="B5:G5"/>
    <mergeCell ref="K5:P5"/>
  </mergeCells>
  <conditionalFormatting sqref="H8:H3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{0FC07ED9-C60B-40E3-ABC3-76F64EE8BE46}</x14:id>
        </ext>
      </extLst>
    </cfRule>
  </conditionalFormatting>
  <conditionalFormatting sqref="Q8:Q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{4CF5EA6E-9322-4AE8-A529-41C12AD00597}</x14:id>
        </ext>
      </extLst>
    </cfRule>
  </conditionalFormatting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C07ED9-C60B-40E3-ABC3-76F64EE8BE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H8:H36</xm:sqref>
        </x14:conditionalFormatting>
        <x14:conditionalFormatting xmlns:xm="http://schemas.microsoft.com/office/excel/2006/main">
          <x14:cfRule type="dataBar" id="{4CF5EA6E-9322-4AE8-A529-41C12AD00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50D4-4395-45C5-9CA6-42E5EC8831E3}">
  <dimension ref="C2:AL10"/>
  <sheetViews>
    <sheetView showGridLines="0" topLeftCell="C1" zoomScale="90" zoomScaleNormal="90" workbookViewId="0">
      <selection activeCell="J17" sqref="J17"/>
    </sheetView>
  </sheetViews>
  <sheetFormatPr defaultRowHeight="14.45"/>
  <cols>
    <col min="1" max="1" width="4.5703125" bestFit="1" customWidth="1"/>
    <col min="2" max="2" width="4.42578125" customWidth="1"/>
    <col min="3" max="3" width="18" bestFit="1" customWidth="1"/>
    <col min="4" max="4" width="17.140625" bestFit="1" customWidth="1"/>
    <col min="5" max="5" width="3.42578125" bestFit="1" customWidth="1"/>
    <col min="6" max="6" width="11" bestFit="1" customWidth="1"/>
    <col min="7" max="7" width="2.42578125" customWidth="1"/>
    <col min="8" max="8" width="12.140625" customWidth="1"/>
    <col min="9" max="9" width="2.42578125" customWidth="1"/>
    <col min="10" max="10" width="18" bestFit="1" customWidth="1"/>
    <col min="11" max="11" width="17.140625" bestFit="1" customWidth="1"/>
    <col min="12" max="12" width="3.42578125" bestFit="1" customWidth="1"/>
    <col min="13" max="13" width="11" bestFit="1" customWidth="1"/>
    <col min="14" max="14" width="3.85546875" customWidth="1"/>
    <col min="15" max="15" width="3.5703125" customWidth="1"/>
    <col min="16" max="16" width="18" bestFit="1" customWidth="1"/>
    <col min="17" max="17" width="17.140625" bestFit="1" customWidth="1"/>
    <col min="18" max="18" width="3.42578125" bestFit="1" customWidth="1"/>
    <col min="19" max="19" width="11" bestFit="1" customWidth="1"/>
    <col min="20" max="20" width="2.42578125" customWidth="1"/>
    <col min="21" max="21" width="12.140625" customWidth="1"/>
    <col min="22" max="22" width="2.42578125" customWidth="1"/>
    <col min="23" max="23" width="18" bestFit="1" customWidth="1"/>
    <col min="24" max="24" width="17.140625" bestFit="1" customWidth="1"/>
    <col min="25" max="25" width="3.42578125" bestFit="1" customWidth="1"/>
    <col min="26" max="26" width="11" bestFit="1" customWidth="1"/>
    <col min="27" max="27" width="5.5703125" customWidth="1"/>
    <col min="28" max="28" width="18" bestFit="1" customWidth="1"/>
    <col min="29" max="29" width="17.140625" bestFit="1" customWidth="1"/>
    <col min="30" max="30" width="3.42578125" bestFit="1" customWidth="1"/>
    <col min="31" max="31" width="11" bestFit="1" customWidth="1"/>
    <col min="32" max="32" width="2.5703125" customWidth="1"/>
    <col min="33" max="33" width="13.140625" customWidth="1"/>
    <col min="34" max="34" width="1.5703125" customWidth="1"/>
    <col min="35" max="35" width="18" bestFit="1" customWidth="1"/>
    <col min="36" max="36" width="17.140625" bestFit="1" customWidth="1"/>
    <col min="37" max="37" width="3.42578125" bestFit="1" customWidth="1"/>
    <col min="38" max="38" width="11" bestFit="1" customWidth="1"/>
  </cols>
  <sheetData>
    <row r="2" spans="3:38">
      <c r="C2" s="84" t="s">
        <v>18</v>
      </c>
      <c r="D2" t="s">
        <v>25</v>
      </c>
      <c r="J2" s="84" t="s">
        <v>18</v>
      </c>
      <c r="K2" t="s">
        <v>25</v>
      </c>
      <c r="P2" s="84" t="s">
        <v>18</v>
      </c>
      <c r="Q2" t="s">
        <v>31</v>
      </c>
      <c r="W2" s="84" t="s">
        <v>18</v>
      </c>
      <c r="X2" t="s">
        <v>31</v>
      </c>
      <c r="AB2" s="84" t="s">
        <v>18</v>
      </c>
      <c r="AC2" t="s">
        <v>33</v>
      </c>
      <c r="AI2" s="84" t="s">
        <v>18</v>
      </c>
      <c r="AJ2" t="s">
        <v>33</v>
      </c>
    </row>
    <row r="3" spans="3:38">
      <c r="C3" s="84" t="s">
        <v>39</v>
      </c>
      <c r="D3" t="s">
        <v>40</v>
      </c>
      <c r="J3" s="84" t="s">
        <v>39</v>
      </c>
      <c r="K3" t="s">
        <v>40</v>
      </c>
      <c r="P3" s="84" t="s">
        <v>39</v>
      </c>
      <c r="Q3" t="s">
        <v>40</v>
      </c>
      <c r="W3" s="84" t="s">
        <v>39</v>
      </c>
      <c r="X3" t="s">
        <v>40</v>
      </c>
      <c r="AB3" s="84" t="s">
        <v>39</v>
      </c>
      <c r="AC3" t="s">
        <v>40</v>
      </c>
      <c r="AI3" s="84" t="s">
        <v>39</v>
      </c>
      <c r="AJ3" t="s">
        <v>40</v>
      </c>
    </row>
    <row r="4" spans="3:38">
      <c r="C4" s="143" t="s">
        <v>41</v>
      </c>
      <c r="D4" s="143"/>
      <c r="E4" s="143"/>
      <c r="F4" s="143"/>
      <c r="J4" s="143" t="s">
        <v>42</v>
      </c>
      <c r="K4" s="143"/>
      <c r="L4" s="143"/>
      <c r="M4" s="143"/>
      <c r="P4" s="144" t="s">
        <v>43</v>
      </c>
      <c r="Q4" s="144"/>
      <c r="R4" s="144"/>
      <c r="S4" s="144"/>
      <c r="W4" s="144" t="s">
        <v>44</v>
      </c>
      <c r="X4" s="144"/>
      <c r="Y4" s="144"/>
      <c r="Z4" s="144"/>
      <c r="AB4" s="145" t="s">
        <v>45</v>
      </c>
      <c r="AC4" s="145"/>
      <c r="AD4" s="145"/>
      <c r="AE4" s="145"/>
      <c r="AI4" s="145" t="s">
        <v>46</v>
      </c>
      <c r="AJ4" s="145"/>
      <c r="AK4" s="145"/>
      <c r="AL4" s="145"/>
    </row>
    <row r="5" spans="3:38">
      <c r="C5" s="84" t="s">
        <v>47</v>
      </c>
      <c r="D5" s="84" t="s">
        <v>15</v>
      </c>
      <c r="J5" s="84" t="s">
        <v>48</v>
      </c>
      <c r="K5" s="84" t="s">
        <v>15</v>
      </c>
      <c r="P5" s="84" t="s">
        <v>47</v>
      </c>
      <c r="Q5" s="84" t="s">
        <v>15</v>
      </c>
      <c r="W5" s="84" t="s">
        <v>48</v>
      </c>
      <c r="X5" s="84" t="s">
        <v>15</v>
      </c>
      <c r="AB5" s="84" t="s">
        <v>47</v>
      </c>
      <c r="AC5" s="84" t="s">
        <v>15</v>
      </c>
      <c r="AI5" s="84" t="s">
        <v>48</v>
      </c>
      <c r="AJ5" s="84" t="s">
        <v>15</v>
      </c>
    </row>
    <row r="6" spans="3:38">
      <c r="C6" s="84" t="s">
        <v>19</v>
      </c>
      <c r="D6" s="69" t="s">
        <v>21</v>
      </c>
      <c r="E6" s="69" t="s">
        <v>22</v>
      </c>
      <c r="F6" s="69" t="s">
        <v>23</v>
      </c>
      <c r="H6" s="100" t="s">
        <v>25</v>
      </c>
      <c r="J6" s="84" t="s">
        <v>19</v>
      </c>
      <c r="K6" s="69" t="s">
        <v>21</v>
      </c>
      <c r="L6" s="69" t="s">
        <v>22</v>
      </c>
      <c r="M6" s="69" t="s">
        <v>23</v>
      </c>
      <c r="P6" s="84" t="s">
        <v>19</v>
      </c>
      <c r="Q6" s="69" t="s">
        <v>21</v>
      </c>
      <c r="R6" s="69" t="s">
        <v>22</v>
      </c>
      <c r="S6" s="69" t="s">
        <v>23</v>
      </c>
      <c r="U6" s="103" t="s">
        <v>31</v>
      </c>
      <c r="W6" s="84" t="s">
        <v>19</v>
      </c>
      <c r="X6" s="69" t="s">
        <v>21</v>
      </c>
      <c r="Y6" s="69" t="s">
        <v>22</v>
      </c>
      <c r="Z6" s="69" t="s">
        <v>23</v>
      </c>
      <c r="AB6" s="84" t="s">
        <v>19</v>
      </c>
      <c r="AC6" s="69" t="s">
        <v>21</v>
      </c>
      <c r="AD6" s="69" t="s">
        <v>22</v>
      </c>
      <c r="AE6" s="69" t="s">
        <v>23</v>
      </c>
      <c r="AG6" s="108" t="s">
        <v>33</v>
      </c>
      <c r="AI6" s="84" t="s">
        <v>19</v>
      </c>
      <c r="AJ6" s="69" t="s">
        <v>21</v>
      </c>
      <c r="AK6" s="69" t="s">
        <v>22</v>
      </c>
      <c r="AL6" s="69" t="s">
        <v>23</v>
      </c>
    </row>
    <row r="7" spans="3:38">
      <c r="C7" s="85" t="s">
        <v>28</v>
      </c>
      <c r="D7" s="69">
        <v>2</v>
      </c>
      <c r="E7" s="69">
        <v>2</v>
      </c>
      <c r="F7" s="69">
        <v>4</v>
      </c>
      <c r="H7" s="101">
        <f>GETPIVOTDATA("Professional (ACE)",$J$5,"Professional (ACE)","Yes")/GETPIVOTDATA("Associate",$C$5)</f>
        <v>0.42857142857142855</v>
      </c>
      <c r="J7" s="85" t="s">
        <v>28</v>
      </c>
      <c r="K7" s="69">
        <v>2</v>
      </c>
      <c r="L7" s="69">
        <v>2</v>
      </c>
      <c r="M7" s="69">
        <v>4</v>
      </c>
      <c r="P7" s="85" t="s">
        <v>28</v>
      </c>
      <c r="Q7" s="69">
        <v>1</v>
      </c>
      <c r="R7" s="69">
        <v>1</v>
      </c>
      <c r="S7" s="69">
        <v>2</v>
      </c>
      <c r="U7" s="104">
        <f>GETPIVOTDATA("Professional (ACE)",$W$5,"Professional (ACE)","Yes")/GETPIVOTDATA("Associate",$P$5)</f>
        <v>0.66666666666666663</v>
      </c>
      <c r="W7" s="85" t="s">
        <v>28</v>
      </c>
      <c r="X7" s="69">
        <v>1</v>
      </c>
      <c r="Y7" s="69">
        <v>1</v>
      </c>
      <c r="Z7" s="69">
        <v>2</v>
      </c>
      <c r="AB7" s="85" t="s">
        <v>34</v>
      </c>
      <c r="AC7" s="69">
        <v>7</v>
      </c>
      <c r="AD7" s="69">
        <v>1</v>
      </c>
      <c r="AE7" s="69">
        <v>8</v>
      </c>
      <c r="AG7" s="106">
        <f>GETPIVOTDATA("Professional (ACE)",$AI$5,"Professional (ACE)","Yes")/GETPIVOTDATA("Associate",$AB$5)</f>
        <v>0.25</v>
      </c>
      <c r="AI7" s="85" t="s">
        <v>34</v>
      </c>
      <c r="AJ7" s="69">
        <v>2</v>
      </c>
      <c r="AK7" s="69">
        <v>6</v>
      </c>
      <c r="AL7" s="69">
        <v>8</v>
      </c>
    </row>
    <row r="8" spans="3:38">
      <c r="C8" s="85" t="s">
        <v>34</v>
      </c>
      <c r="D8" s="69">
        <v>3</v>
      </c>
      <c r="E8" s="69"/>
      <c r="F8" s="69">
        <v>3</v>
      </c>
      <c r="H8" s="102" t="str">
        <f>GETPIVOTDATA("Professional (ACE)",$J$5,"Professional (ACE)","Yes")/GCD(GETPIVOTDATA("Professional (ACE)",$J$5,"Professional (ACE)","Yes"),GETPIVOTDATA("Associate",$C$5))&amp;" : "&amp;GETPIVOTDATA("Associate",$C$5)/GCD(GETPIVOTDATA("Professional (ACE)",$J$5,"Professional (ACE)","Yes"),GETPIVOTDATA("Associate",$C$5))</f>
        <v>3 : 7</v>
      </c>
      <c r="J8" s="85" t="s">
        <v>34</v>
      </c>
      <c r="K8" s="69">
        <v>1</v>
      </c>
      <c r="L8" s="69">
        <v>2</v>
      </c>
      <c r="M8" s="69">
        <v>3</v>
      </c>
      <c r="P8" s="85" t="s">
        <v>34</v>
      </c>
      <c r="Q8" s="69">
        <v>1</v>
      </c>
      <c r="R8" s="69"/>
      <c r="S8" s="69">
        <v>1</v>
      </c>
      <c r="U8" s="105" t="str">
        <f>GETPIVOTDATA("Professional (ACE)",$W$5,"Professional (ACE)","Yes")/GCD(GETPIVOTDATA("Professional (ACE)",$W$5,"Professional (ACE)","Yes"),GETPIVOTDATA("Associate",$P$5))&amp;" : "&amp;GETPIVOTDATA("Associate",$P$5)/GCD(GETPIVOTDATA("Professional (ACE)",$W$5,"Professional (ACE)","Yes"),GETPIVOTDATA("Associate",$P$5))</f>
        <v>2 : 3</v>
      </c>
      <c r="W8" s="85" t="s">
        <v>34</v>
      </c>
      <c r="X8" s="69">
        <v>1</v>
      </c>
      <c r="Y8" s="69"/>
      <c r="Z8" s="69">
        <v>1</v>
      </c>
      <c r="AB8" s="109" t="s">
        <v>26</v>
      </c>
      <c r="AC8" s="69">
        <v>4</v>
      </c>
      <c r="AD8" s="69">
        <v>1</v>
      </c>
      <c r="AE8" s="69">
        <v>5</v>
      </c>
      <c r="AG8" s="107" t="str">
        <f>GETPIVOTDATA("Professional (ACE)",$AI$5,"Professional (ACE)","Yes")/GCD(GETPIVOTDATA("Professional (ACE)",$AI$5,"Professional (ACE)","Yes"),GETPIVOTDATA("Associate",$AB$5))&amp;" : "&amp;GETPIVOTDATA("Associate",$AB$5)/GCD(GETPIVOTDATA("Professional (ACE)",$AI$5,"Professional (ACE)","Yes"),GETPIVOTDATA("Associate",$AB$5))</f>
        <v>1 : 4</v>
      </c>
      <c r="AI8" s="85" t="s">
        <v>23</v>
      </c>
      <c r="AJ8" s="69">
        <v>2</v>
      </c>
      <c r="AK8" s="69">
        <v>6</v>
      </c>
      <c r="AL8" s="69">
        <v>8</v>
      </c>
    </row>
    <row r="9" spans="3:38">
      <c r="C9" s="85" t="s">
        <v>23</v>
      </c>
      <c r="D9" s="69">
        <v>5</v>
      </c>
      <c r="E9" s="69">
        <v>2</v>
      </c>
      <c r="F9" s="69">
        <v>7</v>
      </c>
      <c r="J9" s="85" t="s">
        <v>23</v>
      </c>
      <c r="K9" s="69">
        <v>3</v>
      </c>
      <c r="L9" s="69">
        <v>4</v>
      </c>
      <c r="M9" s="69">
        <v>7</v>
      </c>
      <c r="P9" s="85" t="s">
        <v>23</v>
      </c>
      <c r="Q9" s="69">
        <v>2</v>
      </c>
      <c r="R9" s="69">
        <v>1</v>
      </c>
      <c r="S9" s="69">
        <v>3</v>
      </c>
      <c r="W9" s="85" t="s">
        <v>23</v>
      </c>
      <c r="X9" s="69">
        <v>2</v>
      </c>
      <c r="Y9" s="69">
        <v>1</v>
      </c>
      <c r="Z9" s="69">
        <v>3</v>
      </c>
      <c r="AB9" s="109" t="s">
        <v>32</v>
      </c>
      <c r="AC9" s="69">
        <v>3</v>
      </c>
      <c r="AD9" s="69"/>
      <c r="AE9" s="69">
        <v>3</v>
      </c>
    </row>
    <row r="10" spans="3:38">
      <c r="AB10" s="85" t="s">
        <v>23</v>
      </c>
      <c r="AC10" s="69">
        <v>7</v>
      </c>
      <c r="AD10" s="69">
        <v>1</v>
      </c>
      <c r="AE10" s="69">
        <v>8</v>
      </c>
    </row>
  </sheetData>
  <mergeCells count="6">
    <mergeCell ref="C4:F4"/>
    <mergeCell ref="P4:S4"/>
    <mergeCell ref="W4:Z4"/>
    <mergeCell ref="AB4:AE4"/>
    <mergeCell ref="AI4:AL4"/>
    <mergeCell ref="J4:M4"/>
  </mergeCell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9AB5-5E33-4388-8DCF-9EEE22416617}">
  <dimension ref="B4:K28"/>
  <sheetViews>
    <sheetView showGridLines="0" topLeftCell="A3" zoomScale="80" zoomScaleNormal="80" workbookViewId="0">
      <selection activeCell="P7" sqref="P7:P17"/>
    </sheetView>
  </sheetViews>
  <sheetFormatPr defaultRowHeight="14.45"/>
  <cols>
    <col min="2" max="2" width="8.5703125" hidden="1" customWidth="1"/>
    <col min="3" max="3" width="38.5703125" customWidth="1"/>
    <col min="4" max="5" width="13.5703125" customWidth="1"/>
    <col min="6" max="7" width="14" customWidth="1"/>
    <col min="8" max="8" width="12.42578125" customWidth="1"/>
    <col min="9" max="9" width="13.42578125" customWidth="1"/>
    <col min="10" max="10" width="13.85546875" customWidth="1"/>
    <col min="11" max="11" width="10.5703125" customWidth="1"/>
  </cols>
  <sheetData>
    <row r="4" spans="2:11">
      <c r="C4" s="114" t="s">
        <v>49</v>
      </c>
      <c r="D4" s="161" t="s">
        <v>25</v>
      </c>
      <c r="E4" s="162"/>
      <c r="F4" s="163" t="s">
        <v>31</v>
      </c>
      <c r="G4" s="163"/>
      <c r="H4" s="164" t="s">
        <v>33</v>
      </c>
      <c r="I4" s="164"/>
      <c r="J4" s="151" t="s">
        <v>23</v>
      </c>
      <c r="K4" s="151"/>
    </row>
    <row r="5" spans="2:11">
      <c r="C5" s="112" t="s">
        <v>50</v>
      </c>
      <c r="D5" s="113">
        <f>D14+F14</f>
        <v>8</v>
      </c>
      <c r="E5" s="113"/>
      <c r="F5" s="115">
        <f>D23+F23</f>
        <v>4</v>
      </c>
      <c r="G5" s="115"/>
      <c r="H5" s="116">
        <v>8</v>
      </c>
      <c r="I5" s="117"/>
      <c r="J5" s="122">
        <f>SUM(D5+F5+H5)</f>
        <v>20</v>
      </c>
      <c r="K5" s="123"/>
    </row>
    <row r="6" spans="2:11">
      <c r="C6" s="112" t="s">
        <v>51</v>
      </c>
      <c r="D6" s="113">
        <f t="shared" ref="D6:D9" si="0">D15+F15</f>
        <v>5</v>
      </c>
      <c r="E6" s="118">
        <f>D6/D5</f>
        <v>0.625</v>
      </c>
      <c r="F6" s="115">
        <f t="shared" ref="F6:F9" si="1">D24+F24</f>
        <v>3</v>
      </c>
      <c r="G6" s="119">
        <f>F6/F5</f>
        <v>0.75</v>
      </c>
      <c r="H6" s="116">
        <v>7</v>
      </c>
      <c r="I6" s="120">
        <f>H6/H5</f>
        <v>0.875</v>
      </c>
      <c r="J6" s="122">
        <f t="shared" ref="J6:J9" si="2">SUM(D6+F6+H6)</f>
        <v>15</v>
      </c>
      <c r="K6" s="124">
        <f>J6/J5</f>
        <v>0.75</v>
      </c>
    </row>
    <row r="7" spans="2:11">
      <c r="C7" s="112" t="s">
        <v>52</v>
      </c>
      <c r="D7" s="113">
        <f t="shared" si="0"/>
        <v>5</v>
      </c>
      <c r="E7" s="118">
        <f>D7/D6</f>
        <v>1</v>
      </c>
      <c r="F7" s="115">
        <f t="shared" si="1"/>
        <v>3</v>
      </c>
      <c r="G7" s="119">
        <f>F7/F6</f>
        <v>1</v>
      </c>
      <c r="H7" s="116">
        <v>7</v>
      </c>
      <c r="I7" s="120">
        <f>H7/H6</f>
        <v>1</v>
      </c>
      <c r="J7" s="122">
        <f t="shared" si="2"/>
        <v>15</v>
      </c>
      <c r="K7" s="124">
        <f>J7/J6</f>
        <v>1</v>
      </c>
    </row>
    <row r="8" spans="2:11">
      <c r="C8" s="112" t="s">
        <v>53</v>
      </c>
      <c r="D8" s="113">
        <f t="shared" si="0"/>
        <v>3</v>
      </c>
      <c r="E8" s="118">
        <f>D8/D6</f>
        <v>0.6</v>
      </c>
      <c r="F8" s="115">
        <f t="shared" si="1"/>
        <v>2</v>
      </c>
      <c r="G8" s="119">
        <f>F8/F6</f>
        <v>0.66666666666666663</v>
      </c>
      <c r="H8" s="116">
        <v>2</v>
      </c>
      <c r="I8" s="120">
        <f>H8/H6</f>
        <v>0.2857142857142857</v>
      </c>
      <c r="J8" s="122">
        <f t="shared" si="2"/>
        <v>7</v>
      </c>
      <c r="K8" s="124">
        <f>J8/J6</f>
        <v>0.46666666666666667</v>
      </c>
    </row>
    <row r="9" spans="2:11">
      <c r="C9" s="112" t="s">
        <v>54</v>
      </c>
      <c r="D9" s="113">
        <f t="shared" si="0"/>
        <v>3</v>
      </c>
      <c r="E9" s="118">
        <f>D9/D5</f>
        <v>0.375</v>
      </c>
      <c r="F9" s="115">
        <f t="shared" si="1"/>
        <v>1</v>
      </c>
      <c r="G9" s="119">
        <f>F9/F5</f>
        <v>0.25</v>
      </c>
      <c r="H9" s="116">
        <v>1</v>
      </c>
      <c r="I9" s="120">
        <f>H9/H5</f>
        <v>0.125</v>
      </c>
      <c r="J9" s="122">
        <f t="shared" si="2"/>
        <v>5</v>
      </c>
      <c r="K9" s="124">
        <f>J9/J5</f>
        <v>0.25</v>
      </c>
    </row>
    <row r="10" spans="2:11">
      <c r="B10" s="126">
        <v>1</v>
      </c>
      <c r="C10" s="125" t="s">
        <v>55</v>
      </c>
      <c r="D10" s="157">
        <f>D8/D7</f>
        <v>0.6</v>
      </c>
      <c r="E10" s="158"/>
      <c r="F10" s="159">
        <f>F8/F7</f>
        <v>0.66666666666666663</v>
      </c>
      <c r="G10" s="160"/>
      <c r="H10" s="165">
        <f>H8/H7</f>
        <v>0.2857142857142857</v>
      </c>
      <c r="I10" s="166"/>
      <c r="J10" s="167">
        <f>J8/J7</f>
        <v>0.46666666666666667</v>
      </c>
      <c r="K10" s="168"/>
    </row>
    <row r="12" spans="2:11">
      <c r="C12" s="152" t="s">
        <v>25</v>
      </c>
      <c r="D12" s="153"/>
      <c r="E12" s="153"/>
      <c r="F12" s="153"/>
      <c r="G12" s="153"/>
      <c r="H12" s="153"/>
      <c r="I12" s="153"/>
    </row>
    <row r="13" spans="2:11">
      <c r="C13" s="111" t="s">
        <v>49</v>
      </c>
      <c r="D13" s="148" t="s">
        <v>28</v>
      </c>
      <c r="E13" s="149"/>
      <c r="F13" s="150" t="s">
        <v>34</v>
      </c>
      <c r="G13" s="150"/>
      <c r="H13" s="154" t="s">
        <v>23</v>
      </c>
      <c r="I13" s="150"/>
    </row>
    <row r="14" spans="2:11">
      <c r="C14" s="112" t="s">
        <v>50</v>
      </c>
      <c r="D14" s="110">
        <v>4</v>
      </c>
      <c r="E14" s="110"/>
      <c r="F14" s="110">
        <v>4</v>
      </c>
      <c r="G14" s="110"/>
      <c r="H14" s="110">
        <f>SUM(D14+F14)</f>
        <v>8</v>
      </c>
      <c r="I14" s="110"/>
    </row>
    <row r="15" spans="2:11">
      <c r="C15" s="112" t="s">
        <v>51</v>
      </c>
      <c r="D15" s="110">
        <v>2</v>
      </c>
      <c r="E15" s="121">
        <f>D15/D14</f>
        <v>0.5</v>
      </c>
      <c r="F15" s="110">
        <v>3</v>
      </c>
      <c r="G15" s="121">
        <f>F15/F14</f>
        <v>0.75</v>
      </c>
      <c r="H15" s="110">
        <f t="shared" ref="H15:H18" si="3">SUM(D15+F15)</f>
        <v>5</v>
      </c>
      <c r="I15" s="121">
        <f>H15/H14</f>
        <v>0.625</v>
      </c>
    </row>
    <row r="16" spans="2:11">
      <c r="C16" s="112" t="s">
        <v>52</v>
      </c>
      <c r="D16" s="110">
        <v>2</v>
      </c>
      <c r="E16" s="121">
        <f>D16/D15</f>
        <v>1</v>
      </c>
      <c r="F16" s="110">
        <v>3</v>
      </c>
      <c r="G16" s="121">
        <f>F16/F15</f>
        <v>1</v>
      </c>
      <c r="H16" s="110">
        <f t="shared" si="3"/>
        <v>5</v>
      </c>
      <c r="I16" s="121">
        <f>H16/H15</f>
        <v>1</v>
      </c>
    </row>
    <row r="17" spans="2:9">
      <c r="C17" s="112" t="s">
        <v>53</v>
      </c>
      <c r="D17" s="110">
        <v>2</v>
      </c>
      <c r="E17" s="121">
        <f>D17/D15</f>
        <v>1</v>
      </c>
      <c r="F17" s="110">
        <v>1</v>
      </c>
      <c r="G17" s="121">
        <f>F17/F15</f>
        <v>0.33333333333333331</v>
      </c>
      <c r="H17" s="110">
        <f t="shared" si="3"/>
        <v>3</v>
      </c>
      <c r="I17" s="121">
        <f>H17/H15</f>
        <v>0.6</v>
      </c>
    </row>
    <row r="18" spans="2:9">
      <c r="C18" s="112" t="s">
        <v>54</v>
      </c>
      <c r="D18" s="110">
        <v>2</v>
      </c>
      <c r="E18" s="121">
        <f>D18/D14</f>
        <v>0.5</v>
      </c>
      <c r="F18" s="110">
        <v>1</v>
      </c>
      <c r="G18" s="121">
        <f>F18/F14</f>
        <v>0.25</v>
      </c>
      <c r="H18" s="110">
        <f t="shared" si="3"/>
        <v>3</v>
      </c>
      <c r="I18" s="121">
        <f>H18/H14</f>
        <v>0.375</v>
      </c>
    </row>
    <row r="19" spans="2:9">
      <c r="B19" s="95">
        <v>1</v>
      </c>
      <c r="C19" s="125" t="s">
        <v>55</v>
      </c>
      <c r="D19" s="146">
        <f>D17/D16</f>
        <v>1</v>
      </c>
      <c r="E19" s="147"/>
      <c r="F19" s="146">
        <f>F17/F16</f>
        <v>0.33333333333333331</v>
      </c>
      <c r="G19" s="147"/>
      <c r="H19" s="146">
        <f>H17/H16</f>
        <v>0.6</v>
      </c>
      <c r="I19" s="147"/>
    </row>
    <row r="21" spans="2:9">
      <c r="C21" s="155" t="s">
        <v>31</v>
      </c>
      <c r="D21" s="156"/>
      <c r="E21" s="156"/>
      <c r="F21" s="156"/>
      <c r="G21" s="156"/>
      <c r="H21" s="156"/>
      <c r="I21" s="156"/>
    </row>
    <row r="22" spans="2:9">
      <c r="C22" s="111" t="s">
        <v>49</v>
      </c>
      <c r="D22" s="148" t="s">
        <v>28</v>
      </c>
      <c r="E22" s="149"/>
      <c r="F22" s="150" t="s">
        <v>34</v>
      </c>
      <c r="G22" s="150"/>
      <c r="H22" s="154" t="s">
        <v>23</v>
      </c>
      <c r="I22" s="150"/>
    </row>
    <row r="23" spans="2:9">
      <c r="C23" s="112" t="s">
        <v>50</v>
      </c>
      <c r="D23" s="110">
        <v>2</v>
      </c>
      <c r="E23" s="110"/>
      <c r="F23" s="110">
        <v>2</v>
      </c>
      <c r="G23" s="110"/>
      <c r="H23" s="110">
        <f>SUM(D23+F23)</f>
        <v>4</v>
      </c>
      <c r="I23" s="110"/>
    </row>
    <row r="24" spans="2:9">
      <c r="C24" s="112" t="s">
        <v>51</v>
      </c>
      <c r="D24" s="110">
        <v>1</v>
      </c>
      <c r="E24" s="121">
        <f>D24/D23</f>
        <v>0.5</v>
      </c>
      <c r="F24" s="110">
        <v>2</v>
      </c>
      <c r="G24" s="121">
        <f>F24/F23</f>
        <v>1</v>
      </c>
      <c r="H24" s="110">
        <f t="shared" ref="H24:H27" si="4">SUM(D24+F24)</f>
        <v>3</v>
      </c>
      <c r="I24" s="121">
        <f>H24/H23</f>
        <v>0.75</v>
      </c>
    </row>
    <row r="25" spans="2:9">
      <c r="C25" s="112" t="s">
        <v>56</v>
      </c>
      <c r="D25" s="110">
        <v>1</v>
      </c>
      <c r="E25" s="121">
        <f>D25/D24</f>
        <v>1</v>
      </c>
      <c r="F25" s="110">
        <v>2</v>
      </c>
      <c r="G25" s="121">
        <f>F25/F24</f>
        <v>1</v>
      </c>
      <c r="H25" s="110">
        <f t="shared" si="4"/>
        <v>3</v>
      </c>
      <c r="I25" s="121">
        <f>H25/H24</f>
        <v>1</v>
      </c>
    </row>
    <row r="26" spans="2:9">
      <c r="C26" s="112" t="s">
        <v>53</v>
      </c>
      <c r="D26" s="110">
        <v>1</v>
      </c>
      <c r="E26" s="121">
        <f>D26/D24</f>
        <v>1</v>
      </c>
      <c r="F26" s="110">
        <v>1</v>
      </c>
      <c r="G26" s="121">
        <f>F26/F24</f>
        <v>0.5</v>
      </c>
      <c r="H26" s="110">
        <f t="shared" si="4"/>
        <v>2</v>
      </c>
      <c r="I26" s="121">
        <f>H26/H24</f>
        <v>0.66666666666666663</v>
      </c>
    </row>
    <row r="27" spans="2:9">
      <c r="C27" s="112" t="s">
        <v>54</v>
      </c>
      <c r="D27" s="110">
        <v>1</v>
      </c>
      <c r="E27" s="121">
        <f>D27/D23</f>
        <v>0.5</v>
      </c>
      <c r="F27" s="110">
        <v>0</v>
      </c>
      <c r="G27" s="121">
        <f>F27/F23</f>
        <v>0</v>
      </c>
      <c r="H27" s="110">
        <f t="shared" si="4"/>
        <v>1</v>
      </c>
      <c r="I27" s="121">
        <f>H27/H23</f>
        <v>0.25</v>
      </c>
    </row>
    <row r="28" spans="2:9">
      <c r="B28" s="95">
        <v>1</v>
      </c>
      <c r="C28" s="125" t="s">
        <v>55</v>
      </c>
      <c r="D28" s="146">
        <f>D26/D25</f>
        <v>1</v>
      </c>
      <c r="E28" s="147"/>
      <c r="F28" s="146">
        <f>F26/F25</f>
        <v>0.5</v>
      </c>
      <c r="G28" s="147"/>
      <c r="H28" s="146">
        <f>H26/H25</f>
        <v>0.66666666666666663</v>
      </c>
      <c r="I28" s="147"/>
    </row>
  </sheetData>
  <mergeCells count="22">
    <mergeCell ref="J4:K4"/>
    <mergeCell ref="C12:I12"/>
    <mergeCell ref="H13:I13"/>
    <mergeCell ref="C21:I21"/>
    <mergeCell ref="H22:I22"/>
    <mergeCell ref="D10:E10"/>
    <mergeCell ref="F10:G10"/>
    <mergeCell ref="D4:E4"/>
    <mergeCell ref="F4:G4"/>
    <mergeCell ref="H4:I4"/>
    <mergeCell ref="D13:E13"/>
    <mergeCell ref="F13:G13"/>
    <mergeCell ref="H10:I10"/>
    <mergeCell ref="J10:K10"/>
    <mergeCell ref="D19:E19"/>
    <mergeCell ref="F19:G19"/>
    <mergeCell ref="H19:I19"/>
    <mergeCell ref="D28:E28"/>
    <mergeCell ref="F28:G28"/>
    <mergeCell ref="H28:I28"/>
    <mergeCell ref="D22:E22"/>
    <mergeCell ref="F22:G22"/>
  </mergeCells>
  <conditionalFormatting sqref="D19:I19 B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{3750A3B0-37DD-4932-81B5-BE0AAAAAEAB7}</x14:id>
        </ext>
      </extLst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{B57A794E-D8C2-47B4-BD15-CBE59FE36944}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{65025CB7-0759-477D-A426-6F74B9F16DAB}</x14:id>
        </ext>
      </extLst>
    </cfRule>
  </conditionalFormatting>
  <conditionalFormatting sqref="D28:I28 B2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{13E29B60-C429-4D06-8C3A-2A5AF0FA04CD}</x14:id>
        </ext>
      </extLst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{2B643D16-1E2D-41C5-9BB8-C8CC93B24D02}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{8857425F-0755-4096-8045-D4454507F30C}</x14:id>
        </ext>
      </extLst>
    </cfRule>
  </conditionalFormatting>
  <conditionalFormatting sqref="D10:K10 B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{246BC8F0-5255-4751-81F5-DC6B3F26AF1D}</x14:id>
        </ext>
      </extLst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{374A9012-7833-42D6-855A-07BA3A65AD7E}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{B422900B-98F7-4087-AABC-8AFE4FF56436}</x14:id>
        </ext>
      </extLst>
    </cfRule>
  </conditionalFormatting>
  <conditionalFormatting sqref="D10:K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{8B00E0CA-8BA9-408D-A521-F2E0BDFC274A}</x14:id>
        </ext>
      </extLst>
    </cfRule>
  </conditionalFormatting>
  <pageMargins left="0.7" right="0.7" top="0.75" bottom="0.75" header="0.3" footer="0.3"/>
  <pageSetup orientation="portrait" r:id="rId1"/>
  <ignoredErrors>
    <ignoredError sqref="F6:F9 J6:J9 H15:H18 H24:H2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0A3B0-37DD-4932-81B5-BE0AAAAAEA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7A794E-D8C2-47B4-BD15-CBE59FE36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025CB7-0759-477D-A426-6F74B9F16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D19:I19 B19</xm:sqref>
        </x14:conditionalFormatting>
        <x14:conditionalFormatting xmlns:xm="http://schemas.microsoft.com/office/excel/2006/main">
          <x14:cfRule type="dataBar" id="{13E29B60-C429-4D06-8C3A-2A5AF0FA0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643D16-1E2D-41C5-9BB8-C8CC93B24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57425F-0755-4096-8045-D4454507F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D28:I28 B28</xm:sqref>
        </x14:conditionalFormatting>
        <x14:conditionalFormatting xmlns:xm="http://schemas.microsoft.com/office/excel/2006/main">
          <x14:cfRule type="dataBar" id="{246BC8F0-5255-4751-81F5-DC6B3F26AF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4A9012-7833-42D6-855A-07BA3A65A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22900B-98F7-4087-AABC-8AFE4FF56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D10:K10 B10</xm:sqref>
        </x14:conditionalFormatting>
        <x14:conditionalFormatting xmlns:xm="http://schemas.microsoft.com/office/excel/2006/main">
          <x14:cfRule type="dataBar" id="{8B00E0CA-8BA9-408D-A521-F2E0BDFC2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D10:K10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EBF2-63DD-4069-ACC1-314E2E34CC00}">
  <dimension ref="A1:O29"/>
  <sheetViews>
    <sheetView showGridLines="0" workbookViewId="0">
      <pane ySplit="2" topLeftCell="A9" activePane="bottomLeft" state="frozen"/>
      <selection pane="bottomLeft" activeCell="L11" sqref="L11"/>
      <selection activeCell="C1" sqref="C1"/>
    </sheetView>
  </sheetViews>
  <sheetFormatPr defaultColWidth="8.5703125" defaultRowHeight="12.95"/>
  <cols>
    <col min="1" max="1" width="4.85546875" style="48" bestFit="1" customWidth="1"/>
    <col min="2" max="2" width="24.5703125" style="48" bestFit="1" customWidth="1"/>
    <col min="3" max="3" width="12.5703125" style="48" customWidth="1"/>
    <col min="4" max="4" width="8.5703125" style="48"/>
    <col min="5" max="5" width="10.42578125" style="48" customWidth="1"/>
    <col min="6" max="6" width="11.5703125" style="48" customWidth="1"/>
    <col min="7" max="7" width="12.42578125" style="48" bestFit="1" customWidth="1"/>
    <col min="8" max="8" width="13.85546875" style="48" bestFit="1" customWidth="1"/>
    <col min="9" max="9" width="8.5703125" style="48"/>
    <col min="10" max="12" width="12.5703125" style="48" bestFit="1" customWidth="1"/>
    <col min="13" max="13" width="12.5703125" style="48" customWidth="1"/>
    <col min="14" max="14" width="42.42578125" style="48" customWidth="1"/>
    <col min="15" max="15" width="10.5703125" style="48" bestFit="1" customWidth="1"/>
    <col min="16" max="16384" width="8.5703125" style="48"/>
  </cols>
  <sheetData>
    <row r="1" spans="1:15" ht="25.5" customHeight="1">
      <c r="J1" s="141" t="s">
        <v>57</v>
      </c>
      <c r="K1" s="141"/>
      <c r="L1" s="141"/>
      <c r="M1" s="141"/>
    </row>
    <row r="2" spans="1:15">
      <c r="A2" s="70" t="s">
        <v>58</v>
      </c>
      <c r="B2" s="70" t="s">
        <v>59</v>
      </c>
      <c r="C2" s="70" t="s">
        <v>60</v>
      </c>
      <c r="D2" s="70" t="s">
        <v>19</v>
      </c>
      <c r="E2" s="70" t="s">
        <v>20</v>
      </c>
      <c r="F2" s="71" t="s">
        <v>26</v>
      </c>
      <c r="G2" s="71" t="s">
        <v>61</v>
      </c>
      <c r="H2" s="71" t="s">
        <v>62</v>
      </c>
      <c r="I2" s="71" t="s">
        <v>63</v>
      </c>
      <c r="J2" s="71" t="s">
        <v>64</v>
      </c>
      <c r="K2" s="71" t="s">
        <v>65</v>
      </c>
      <c r="L2" s="71" t="s">
        <v>66</v>
      </c>
      <c r="M2" s="71" t="s">
        <v>67</v>
      </c>
      <c r="N2" s="71" t="s">
        <v>68</v>
      </c>
      <c r="O2" s="71" t="s">
        <v>69</v>
      </c>
    </row>
    <row r="3" spans="1:15" ht="39">
      <c r="A3" s="72">
        <v>1</v>
      </c>
      <c r="B3" s="73" t="s">
        <v>70</v>
      </c>
      <c r="C3" s="74" t="s">
        <v>31</v>
      </c>
      <c r="D3" s="73" t="s">
        <v>28</v>
      </c>
      <c r="E3" s="75" t="s">
        <v>32</v>
      </c>
      <c r="F3" s="72"/>
      <c r="G3" s="72"/>
      <c r="H3" s="72"/>
      <c r="I3" s="82" t="s">
        <v>71</v>
      </c>
      <c r="J3" s="72"/>
      <c r="K3" s="72"/>
      <c r="L3" s="72"/>
      <c r="M3" s="72"/>
      <c r="N3" s="77" t="s">
        <v>72</v>
      </c>
      <c r="O3" s="76"/>
    </row>
    <row r="4" spans="1:15">
      <c r="A4" s="72">
        <v>2</v>
      </c>
      <c r="B4" s="73" t="s">
        <v>73</v>
      </c>
      <c r="C4" s="74" t="s">
        <v>25</v>
      </c>
      <c r="D4" s="73" t="s">
        <v>28</v>
      </c>
      <c r="E4" s="75" t="s">
        <v>32</v>
      </c>
      <c r="F4" s="72"/>
      <c r="G4" s="72"/>
      <c r="H4" s="72"/>
      <c r="I4" s="72" t="s">
        <v>74</v>
      </c>
      <c r="J4" s="72"/>
      <c r="K4" s="72"/>
      <c r="L4" s="72"/>
      <c r="M4" s="72"/>
      <c r="N4" s="76" t="s">
        <v>75</v>
      </c>
      <c r="O4" s="76"/>
    </row>
    <row r="5" spans="1:15" ht="26.1">
      <c r="A5" s="72">
        <v>3</v>
      </c>
      <c r="B5" s="78" t="s">
        <v>76</v>
      </c>
      <c r="C5" s="78" t="s">
        <v>25</v>
      </c>
      <c r="D5" s="78" t="s">
        <v>28</v>
      </c>
      <c r="E5" s="78" t="s">
        <v>26</v>
      </c>
      <c r="F5" s="72"/>
      <c r="G5" s="72"/>
      <c r="H5" s="72"/>
      <c r="I5" s="82" t="s">
        <v>77</v>
      </c>
      <c r="J5" s="72"/>
      <c r="K5" s="72"/>
      <c r="L5" s="72"/>
      <c r="M5" s="72"/>
      <c r="N5" s="77" t="s">
        <v>78</v>
      </c>
      <c r="O5" s="76"/>
    </row>
    <row r="6" spans="1:15">
      <c r="A6" s="72">
        <v>4</v>
      </c>
      <c r="B6" s="73" t="s">
        <v>79</v>
      </c>
      <c r="C6" s="74" t="s">
        <v>25</v>
      </c>
      <c r="D6" s="73" t="s">
        <v>34</v>
      </c>
      <c r="E6" s="75" t="s">
        <v>32</v>
      </c>
      <c r="F6" s="72"/>
      <c r="G6" s="72"/>
      <c r="H6" s="72"/>
      <c r="I6" s="72" t="s">
        <v>74</v>
      </c>
      <c r="J6" s="72"/>
      <c r="K6" s="72"/>
      <c r="L6" s="72"/>
      <c r="M6" s="72"/>
      <c r="N6" s="76" t="s">
        <v>80</v>
      </c>
      <c r="O6" s="76"/>
    </row>
    <row r="7" spans="1:15" ht="39">
      <c r="A7" s="72">
        <v>6</v>
      </c>
      <c r="B7" s="73" t="s">
        <v>81</v>
      </c>
      <c r="C7" s="74" t="s">
        <v>31</v>
      </c>
      <c r="D7" s="73" t="s">
        <v>34</v>
      </c>
      <c r="E7" s="75" t="s">
        <v>32</v>
      </c>
      <c r="F7" s="72"/>
      <c r="G7" s="72" t="s">
        <v>82</v>
      </c>
      <c r="H7" s="82" t="s">
        <v>83</v>
      </c>
      <c r="I7" s="72"/>
      <c r="J7" s="72"/>
      <c r="K7" s="72"/>
      <c r="L7" s="72"/>
      <c r="M7" s="72"/>
      <c r="N7" s="77" t="s">
        <v>84</v>
      </c>
      <c r="O7" s="76"/>
    </row>
    <row r="8" spans="1:15" ht="26.1">
      <c r="A8" s="72">
        <v>7</v>
      </c>
      <c r="B8" s="73" t="s">
        <v>85</v>
      </c>
      <c r="C8" s="74" t="s">
        <v>86</v>
      </c>
      <c r="D8" s="73" t="s">
        <v>34</v>
      </c>
      <c r="E8" s="75" t="s">
        <v>61</v>
      </c>
      <c r="F8" s="72"/>
      <c r="G8" s="72"/>
      <c r="H8" s="72"/>
      <c r="I8" s="82" t="s">
        <v>83</v>
      </c>
      <c r="J8" s="72"/>
      <c r="K8" s="72"/>
      <c r="L8" s="72"/>
      <c r="M8" s="72"/>
      <c r="N8" s="77" t="s">
        <v>87</v>
      </c>
      <c r="O8" s="76"/>
    </row>
    <row r="9" spans="1:15">
      <c r="A9" s="72">
        <v>8</v>
      </c>
      <c r="B9" s="73" t="s">
        <v>88</v>
      </c>
      <c r="C9" s="74" t="s">
        <v>33</v>
      </c>
      <c r="D9" s="73" t="s">
        <v>34</v>
      </c>
      <c r="E9" s="75" t="s">
        <v>32</v>
      </c>
      <c r="F9" s="72"/>
      <c r="G9" s="72" t="s">
        <v>89</v>
      </c>
      <c r="H9" s="72"/>
      <c r="I9" s="72"/>
      <c r="J9" s="72" t="s">
        <v>90</v>
      </c>
      <c r="K9" s="72" t="s">
        <v>90</v>
      </c>
      <c r="L9" s="72" t="s">
        <v>90</v>
      </c>
      <c r="M9" s="72" t="s">
        <v>90</v>
      </c>
      <c r="N9" s="76" t="s">
        <v>91</v>
      </c>
      <c r="O9" s="76"/>
    </row>
    <row r="10" spans="1:15">
      <c r="A10" s="72">
        <v>9</v>
      </c>
      <c r="B10" s="73" t="s">
        <v>92</v>
      </c>
      <c r="C10" s="74" t="s">
        <v>33</v>
      </c>
      <c r="D10" s="73" t="s">
        <v>34</v>
      </c>
      <c r="E10" s="75" t="s">
        <v>32</v>
      </c>
      <c r="F10" s="72"/>
      <c r="G10" s="72"/>
      <c r="H10" s="72"/>
      <c r="I10" s="72" t="s">
        <v>89</v>
      </c>
      <c r="J10" s="72" t="s">
        <v>90</v>
      </c>
      <c r="K10" s="72" t="s">
        <v>90</v>
      </c>
      <c r="L10" s="72" t="s">
        <v>90</v>
      </c>
      <c r="M10" s="72" t="s">
        <v>90</v>
      </c>
      <c r="N10" s="76" t="s">
        <v>93</v>
      </c>
      <c r="O10" s="76"/>
    </row>
    <row r="11" spans="1:15">
      <c r="A11" s="72">
        <v>10</v>
      </c>
      <c r="B11" s="74" t="s">
        <v>94</v>
      </c>
      <c r="C11" s="74" t="s">
        <v>33</v>
      </c>
      <c r="D11" s="74" t="s">
        <v>34</v>
      </c>
      <c r="E11" s="75" t="s">
        <v>32</v>
      </c>
      <c r="F11" s="72"/>
      <c r="G11" s="72"/>
      <c r="H11" s="72"/>
      <c r="I11" s="72" t="s">
        <v>89</v>
      </c>
      <c r="J11" s="72" t="s">
        <v>90</v>
      </c>
      <c r="K11" s="72" t="s">
        <v>90</v>
      </c>
      <c r="L11" s="72" t="s">
        <v>90</v>
      </c>
      <c r="M11" s="72" t="s">
        <v>90</v>
      </c>
      <c r="N11" s="76" t="s">
        <v>93</v>
      </c>
      <c r="O11" s="76"/>
    </row>
    <row r="12" spans="1:15">
      <c r="A12" s="72">
        <v>11</v>
      </c>
      <c r="B12" s="74" t="s">
        <v>95</v>
      </c>
      <c r="C12" s="74" t="s">
        <v>25</v>
      </c>
      <c r="D12" s="74" t="s">
        <v>34</v>
      </c>
      <c r="E12" s="75" t="s">
        <v>26</v>
      </c>
      <c r="F12" s="72" t="s">
        <v>74</v>
      </c>
      <c r="G12" s="72"/>
      <c r="H12" s="72"/>
      <c r="I12" s="72"/>
      <c r="J12" s="72"/>
      <c r="K12" s="72"/>
      <c r="L12" s="72"/>
      <c r="M12" s="72"/>
      <c r="N12" s="76" t="s">
        <v>96</v>
      </c>
      <c r="O12" s="76"/>
    </row>
    <row r="13" spans="1:15">
      <c r="A13" s="72">
        <v>13</v>
      </c>
      <c r="B13" s="73" t="s">
        <v>97</v>
      </c>
      <c r="C13" s="74" t="s">
        <v>33</v>
      </c>
      <c r="D13" s="73" t="s">
        <v>34</v>
      </c>
      <c r="E13" s="75" t="s">
        <v>26</v>
      </c>
      <c r="F13" s="72" t="s">
        <v>98</v>
      </c>
      <c r="G13" s="72"/>
      <c r="H13" s="72"/>
      <c r="I13" s="72"/>
      <c r="J13" s="72" t="s">
        <v>90</v>
      </c>
      <c r="K13" s="72" t="s">
        <v>90</v>
      </c>
      <c r="L13" s="72" t="s">
        <v>90</v>
      </c>
      <c r="M13" s="72" t="s">
        <v>90</v>
      </c>
      <c r="N13" s="76" t="s">
        <v>99</v>
      </c>
      <c r="O13" s="76"/>
    </row>
    <row r="14" spans="1:15">
      <c r="A14" s="72">
        <v>15</v>
      </c>
      <c r="B14" s="78" t="s">
        <v>100</v>
      </c>
      <c r="C14" s="78" t="s">
        <v>35</v>
      </c>
      <c r="D14" s="78" t="s">
        <v>34</v>
      </c>
      <c r="E14" s="78" t="s">
        <v>26</v>
      </c>
      <c r="F14" s="72"/>
      <c r="G14" s="72"/>
      <c r="H14" s="72"/>
      <c r="I14" s="72"/>
      <c r="J14" s="72"/>
      <c r="K14" s="72"/>
      <c r="L14" s="72"/>
      <c r="M14" s="72"/>
      <c r="N14" s="76" t="s">
        <v>101</v>
      </c>
      <c r="O14" s="76"/>
    </row>
    <row r="15" spans="1:15" ht="39">
      <c r="A15" s="72">
        <v>16</v>
      </c>
      <c r="B15" s="78" t="s">
        <v>102</v>
      </c>
      <c r="C15" s="78" t="s">
        <v>35</v>
      </c>
      <c r="D15" s="78" t="s">
        <v>34</v>
      </c>
      <c r="E15" s="78" t="s">
        <v>26</v>
      </c>
      <c r="F15" s="82" t="s">
        <v>103</v>
      </c>
      <c r="G15" s="72"/>
      <c r="H15" s="72"/>
      <c r="I15" s="72" t="s">
        <v>82</v>
      </c>
      <c r="J15" s="72"/>
      <c r="K15" s="72"/>
      <c r="L15" s="72"/>
      <c r="M15" s="72"/>
      <c r="N15" s="77" t="s">
        <v>104</v>
      </c>
      <c r="O15" s="76"/>
    </row>
    <row r="16" spans="1:15">
      <c r="A16" s="72">
        <v>17</v>
      </c>
      <c r="B16" s="73" t="s">
        <v>105</v>
      </c>
      <c r="C16" s="74" t="s">
        <v>36</v>
      </c>
      <c r="D16" s="73" t="s">
        <v>38</v>
      </c>
      <c r="E16" s="75" t="s">
        <v>32</v>
      </c>
      <c r="F16" s="72" t="s">
        <v>98</v>
      </c>
      <c r="G16" s="72"/>
      <c r="H16" s="72"/>
      <c r="I16" s="72"/>
      <c r="J16" s="72"/>
      <c r="K16" s="72"/>
      <c r="L16" s="72"/>
      <c r="M16" s="72"/>
      <c r="N16" s="76" t="s">
        <v>106</v>
      </c>
      <c r="O16" s="76"/>
    </row>
    <row r="17" spans="1:15">
      <c r="A17" s="72">
        <v>18</v>
      </c>
      <c r="B17" s="73" t="s">
        <v>107</v>
      </c>
      <c r="C17" s="74" t="s">
        <v>36</v>
      </c>
      <c r="D17" s="73" t="s">
        <v>38</v>
      </c>
      <c r="E17" s="75" t="s">
        <v>32</v>
      </c>
      <c r="F17" s="72"/>
      <c r="G17" s="72"/>
      <c r="H17" s="72"/>
      <c r="I17" s="72"/>
      <c r="J17" s="72"/>
      <c r="K17" s="72"/>
      <c r="L17" s="72"/>
      <c r="M17" s="72"/>
      <c r="N17" s="76"/>
      <c r="O17" s="76"/>
    </row>
    <row r="18" spans="1:15">
      <c r="A18" s="72">
        <v>19</v>
      </c>
      <c r="B18" s="73" t="s">
        <v>108</v>
      </c>
      <c r="C18" s="74" t="s">
        <v>36</v>
      </c>
      <c r="D18" s="73" t="s">
        <v>38</v>
      </c>
      <c r="E18" s="75" t="s">
        <v>26</v>
      </c>
      <c r="F18" s="72"/>
      <c r="G18" s="72"/>
      <c r="H18" s="72"/>
      <c r="I18" s="72"/>
      <c r="J18" s="72"/>
      <c r="K18" s="72"/>
      <c r="L18" s="72"/>
      <c r="M18" s="72"/>
      <c r="N18" s="76" t="s">
        <v>101</v>
      </c>
      <c r="O18" s="76"/>
    </row>
    <row r="19" spans="1:15">
      <c r="A19" s="72">
        <v>20</v>
      </c>
      <c r="B19" s="78" t="s">
        <v>109</v>
      </c>
      <c r="C19" s="78" t="s">
        <v>33</v>
      </c>
      <c r="D19" s="78" t="s">
        <v>34</v>
      </c>
      <c r="E19" s="78" t="s">
        <v>26</v>
      </c>
      <c r="F19" s="72" t="s">
        <v>98</v>
      </c>
      <c r="G19" s="72"/>
      <c r="H19" s="72"/>
      <c r="I19" s="72"/>
      <c r="J19" s="72" t="s">
        <v>90</v>
      </c>
      <c r="K19" s="72" t="s">
        <v>90</v>
      </c>
      <c r="L19" s="72" t="s">
        <v>90</v>
      </c>
      <c r="M19" s="72" t="s">
        <v>90</v>
      </c>
      <c r="N19" s="76" t="s">
        <v>99</v>
      </c>
      <c r="O19" s="76"/>
    </row>
    <row r="20" spans="1:15">
      <c r="A20" s="72">
        <v>21</v>
      </c>
      <c r="B20" s="78" t="s">
        <v>110</v>
      </c>
      <c r="C20" s="78" t="s">
        <v>25</v>
      </c>
      <c r="D20" s="78" t="s">
        <v>34</v>
      </c>
      <c r="E20" s="78" t="s">
        <v>26</v>
      </c>
      <c r="F20" s="72" t="s">
        <v>74</v>
      </c>
      <c r="G20" s="72"/>
      <c r="H20" s="72"/>
      <c r="I20" s="72"/>
      <c r="J20" s="72"/>
      <c r="K20" s="72"/>
      <c r="L20" s="72"/>
      <c r="M20" s="72"/>
      <c r="N20" s="76" t="s">
        <v>96</v>
      </c>
      <c r="O20" s="76"/>
    </row>
    <row r="21" spans="1:15">
      <c r="A21" s="72">
        <v>22</v>
      </c>
      <c r="B21" s="74" t="s">
        <v>111</v>
      </c>
      <c r="C21" s="78" t="s">
        <v>33</v>
      </c>
      <c r="D21" s="78" t="s">
        <v>34</v>
      </c>
      <c r="E21" s="78" t="s">
        <v>26</v>
      </c>
      <c r="F21" s="72" t="s">
        <v>98</v>
      </c>
      <c r="G21" s="72"/>
      <c r="H21" s="72"/>
      <c r="I21" s="72"/>
      <c r="J21" s="72" t="s">
        <v>90</v>
      </c>
      <c r="K21" s="72" t="s">
        <v>90</v>
      </c>
      <c r="L21" s="72" t="s">
        <v>90</v>
      </c>
      <c r="M21" s="72" t="s">
        <v>90</v>
      </c>
      <c r="N21" s="76" t="s">
        <v>99</v>
      </c>
      <c r="O21" s="76"/>
    </row>
    <row r="22" spans="1:15">
      <c r="A22" s="72">
        <v>23</v>
      </c>
      <c r="B22" s="78" t="s">
        <v>112</v>
      </c>
      <c r="C22" s="78" t="s">
        <v>31</v>
      </c>
      <c r="D22" s="78" t="s">
        <v>28</v>
      </c>
      <c r="E22" s="78" t="s">
        <v>26</v>
      </c>
      <c r="F22" s="72"/>
      <c r="G22" s="72"/>
      <c r="H22" s="72"/>
      <c r="I22" s="72"/>
      <c r="J22" s="72"/>
      <c r="K22" s="72"/>
      <c r="L22" s="72"/>
      <c r="M22" s="81"/>
      <c r="N22" s="79" t="s">
        <v>101</v>
      </c>
      <c r="O22" s="76"/>
    </row>
    <row r="23" spans="1:15">
      <c r="A23" s="72">
        <v>24</v>
      </c>
      <c r="B23" s="78" t="s">
        <v>113</v>
      </c>
      <c r="C23" s="78" t="s">
        <v>31</v>
      </c>
      <c r="D23" s="78" t="s">
        <v>34</v>
      </c>
      <c r="E23" s="78" t="s">
        <v>32</v>
      </c>
      <c r="F23" s="72" t="s">
        <v>98</v>
      </c>
      <c r="G23" s="72"/>
      <c r="H23" s="72"/>
      <c r="I23" s="72"/>
      <c r="J23" s="72"/>
      <c r="K23" s="72"/>
      <c r="L23" s="72"/>
      <c r="M23" s="81"/>
      <c r="N23" s="79" t="s">
        <v>99</v>
      </c>
      <c r="O23" s="76"/>
    </row>
    <row r="24" spans="1:15">
      <c r="A24" s="72">
        <v>25</v>
      </c>
      <c r="B24" s="78" t="s">
        <v>114</v>
      </c>
      <c r="C24" s="78" t="s">
        <v>25</v>
      </c>
      <c r="D24" s="78" t="s">
        <v>28</v>
      </c>
      <c r="E24" s="78" t="s">
        <v>26</v>
      </c>
      <c r="F24" s="72"/>
      <c r="G24" s="72"/>
      <c r="H24" s="72"/>
      <c r="I24" s="72"/>
      <c r="J24" s="72"/>
      <c r="K24" s="72"/>
      <c r="L24" s="72"/>
      <c r="M24" s="81"/>
      <c r="N24" s="79" t="s">
        <v>101</v>
      </c>
      <c r="O24" s="76"/>
    </row>
    <row r="25" spans="1:15">
      <c r="A25" s="72">
        <v>26</v>
      </c>
      <c r="B25" s="78" t="s">
        <v>115</v>
      </c>
      <c r="C25" s="78" t="s">
        <v>25</v>
      </c>
      <c r="D25" s="78" t="s">
        <v>28</v>
      </c>
      <c r="E25" s="78" t="s">
        <v>26</v>
      </c>
      <c r="F25" s="72"/>
      <c r="G25" s="72"/>
      <c r="H25" s="72"/>
      <c r="I25" s="72"/>
      <c r="J25" s="72"/>
      <c r="K25" s="72"/>
      <c r="L25" s="72"/>
      <c r="M25" s="81"/>
      <c r="N25" s="79" t="s">
        <v>101</v>
      </c>
      <c r="O25" s="76"/>
    </row>
    <row r="26" spans="1:15" ht="26.1">
      <c r="A26" s="72">
        <v>27</v>
      </c>
      <c r="B26" s="78" t="s">
        <v>116</v>
      </c>
      <c r="C26" s="78" t="s">
        <v>37</v>
      </c>
      <c r="D26" s="78" t="s">
        <v>34</v>
      </c>
      <c r="E26" s="78" t="s">
        <v>32</v>
      </c>
      <c r="F26" s="72" t="s">
        <v>98</v>
      </c>
      <c r="G26" s="72"/>
      <c r="H26" s="72"/>
      <c r="I26" s="72" t="s">
        <v>82</v>
      </c>
      <c r="J26" s="72"/>
      <c r="K26" s="72"/>
      <c r="L26" s="72"/>
      <c r="M26" s="81"/>
      <c r="N26" s="83" t="s">
        <v>117</v>
      </c>
      <c r="O26" s="76"/>
    </row>
    <row r="27" spans="1:15">
      <c r="A27" s="72">
        <v>28</v>
      </c>
      <c r="B27" s="78" t="s">
        <v>118</v>
      </c>
      <c r="C27" s="78" t="s">
        <v>33</v>
      </c>
      <c r="D27" s="78" t="s">
        <v>34</v>
      </c>
      <c r="E27" s="78" t="s">
        <v>26</v>
      </c>
      <c r="F27" s="72"/>
      <c r="G27" s="72"/>
      <c r="H27" s="72"/>
      <c r="I27" s="72"/>
      <c r="J27" s="72" t="s">
        <v>90</v>
      </c>
      <c r="K27" s="72" t="s">
        <v>90</v>
      </c>
      <c r="L27" s="72" t="s">
        <v>90</v>
      </c>
      <c r="M27" s="72" t="s">
        <v>90</v>
      </c>
      <c r="N27" s="79"/>
      <c r="O27" s="76"/>
    </row>
    <row r="28" spans="1:15" ht="26.1">
      <c r="A28" s="72">
        <v>29</v>
      </c>
      <c r="B28" s="78" t="s">
        <v>119</v>
      </c>
      <c r="C28" s="78" t="s">
        <v>33</v>
      </c>
      <c r="D28" s="78" t="s">
        <v>34</v>
      </c>
      <c r="E28" s="78" t="s">
        <v>26</v>
      </c>
      <c r="F28" s="72"/>
      <c r="G28" s="82" t="s">
        <v>120</v>
      </c>
      <c r="H28" s="72"/>
      <c r="I28" s="72" t="s">
        <v>82</v>
      </c>
      <c r="J28" s="72" t="s">
        <v>90</v>
      </c>
      <c r="K28" s="72" t="s">
        <v>90</v>
      </c>
      <c r="L28" s="72" t="s">
        <v>90</v>
      </c>
      <c r="M28" s="72" t="s">
        <v>90</v>
      </c>
      <c r="N28" s="80" t="s">
        <v>121</v>
      </c>
      <c r="O28" s="76"/>
    </row>
    <row r="29" spans="1:15">
      <c r="A29" s="72">
        <v>30</v>
      </c>
      <c r="B29" s="78" t="s">
        <v>122</v>
      </c>
      <c r="C29" s="78" t="s">
        <v>25</v>
      </c>
      <c r="D29" s="78" t="s">
        <v>34</v>
      </c>
      <c r="E29" s="78" t="s">
        <v>32</v>
      </c>
      <c r="F29" s="72"/>
      <c r="G29" s="72" t="s">
        <v>82</v>
      </c>
      <c r="H29" s="72"/>
      <c r="I29" s="72"/>
      <c r="J29" s="72"/>
      <c r="K29" s="72"/>
      <c r="L29" s="72"/>
      <c r="M29" s="72"/>
      <c r="N29" s="76" t="s">
        <v>123</v>
      </c>
      <c r="O29" s="76"/>
    </row>
  </sheetData>
  <autoFilter ref="A2:O29" xr:uid="{0F06EBF2-63DD-4069-ACC1-314E2E34CC00}"/>
  <mergeCells count="1">
    <mergeCell ref="J1:M1"/>
  </mergeCells>
  <dataValidations count="3">
    <dataValidation type="list" allowBlank="1" showErrorMessage="1" sqref="C3:C29" xr:uid="{C27E4112-E387-4D6B-B030-C89523712C28}">
      <formula1>"BillingCenter,ClaimCenter,Conversion,Data,Datahub,DHIC,Digital,Integration,Migration,PolicyCenter,Portal,Print,Testing,Transition,Others"</formula1>
    </dataValidation>
    <dataValidation type="list" allowBlank="1" showErrorMessage="1" sqref="D3:D29" xr:uid="{05440A74-1D5A-42E0-B63C-389F074FF6E7}">
      <formula1>"Dev,BA,QA"</formula1>
    </dataValidation>
    <dataValidation type="list" allowBlank="1" showErrorMessage="1" sqref="E3:E29" xr:uid="{0D608395-5E99-4338-8662-CC3807E679F1}">
      <formula1>"Lead,Associate,Specialist"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12FA-9CB5-4CE8-876F-E3723F837B12}">
  <dimension ref="A1:P41"/>
  <sheetViews>
    <sheetView showGridLines="0" zoomScale="90" zoomScaleNormal="90" workbookViewId="0">
      <selection sqref="A1:XFD1048576"/>
    </sheetView>
  </sheetViews>
  <sheetFormatPr defaultColWidth="8.5703125" defaultRowHeight="18.95" customHeight="1"/>
  <cols>
    <col min="1" max="1" width="4.85546875" style="48" bestFit="1" customWidth="1"/>
    <col min="2" max="2" width="24.5703125" style="48" bestFit="1" customWidth="1"/>
    <col min="3" max="3" width="12.5703125" style="48" customWidth="1"/>
    <col min="4" max="4" width="17.85546875" style="48" customWidth="1"/>
    <col min="5" max="5" width="8.5703125" style="48"/>
    <col min="6" max="6" width="10.42578125" style="48" customWidth="1"/>
    <col min="7" max="7" width="11.5703125" style="48" customWidth="1"/>
    <col min="8" max="8" width="12.42578125" style="48" bestFit="1" customWidth="1"/>
    <col min="9" max="9" width="16.42578125" style="48" customWidth="1"/>
    <col min="10" max="10" width="12" style="48" customWidth="1"/>
    <col min="11" max="13" width="12.5703125" style="48" bestFit="1" customWidth="1"/>
    <col min="14" max="14" width="12.5703125" style="48" customWidth="1"/>
    <col min="15" max="15" width="42.42578125" style="48" customWidth="1"/>
    <col min="16" max="16" width="10.5703125" style="48" bestFit="1" customWidth="1"/>
    <col min="17" max="16384" width="8.5703125" style="48"/>
  </cols>
  <sheetData>
    <row r="1" spans="1:16" ht="18.95" customHeight="1">
      <c r="K1" s="141" t="s">
        <v>57</v>
      </c>
      <c r="L1" s="141"/>
      <c r="M1" s="141"/>
      <c r="N1" s="141"/>
    </row>
    <row r="2" spans="1:16" ht="18.95" customHeight="1">
      <c r="A2" s="90" t="s">
        <v>58</v>
      </c>
      <c r="B2" s="71" t="s">
        <v>59</v>
      </c>
      <c r="C2" s="71" t="s">
        <v>18</v>
      </c>
      <c r="D2" s="71" t="s">
        <v>39</v>
      </c>
      <c r="E2" s="71" t="s">
        <v>19</v>
      </c>
      <c r="F2" s="71" t="s">
        <v>20</v>
      </c>
      <c r="G2" s="71" t="s">
        <v>26</v>
      </c>
      <c r="H2" s="71" t="s">
        <v>61</v>
      </c>
      <c r="I2" s="71" t="s">
        <v>124</v>
      </c>
      <c r="J2" s="71" t="s">
        <v>63</v>
      </c>
      <c r="K2" s="71" t="s">
        <v>64</v>
      </c>
      <c r="L2" s="71" t="s">
        <v>65</v>
      </c>
      <c r="M2" s="71" t="s">
        <v>66</v>
      </c>
      <c r="N2" s="71" t="s">
        <v>67</v>
      </c>
      <c r="O2" s="71" t="s">
        <v>68</v>
      </c>
      <c r="P2" s="71" t="s">
        <v>69</v>
      </c>
    </row>
    <row r="3" spans="1:16" ht="18.95" customHeight="1">
      <c r="A3" s="133">
        <v>1</v>
      </c>
      <c r="B3" s="136" t="s">
        <v>70</v>
      </c>
      <c r="C3" s="172" t="s">
        <v>31</v>
      </c>
      <c r="D3" s="74" t="s">
        <v>25</v>
      </c>
      <c r="E3" s="175" t="s">
        <v>28</v>
      </c>
      <c r="F3" s="169" t="s">
        <v>32</v>
      </c>
      <c r="G3" s="72"/>
      <c r="H3" s="72"/>
      <c r="I3" s="72"/>
      <c r="J3" s="82" t="s">
        <v>21</v>
      </c>
      <c r="K3" s="72"/>
      <c r="L3" s="72"/>
      <c r="M3" s="72"/>
      <c r="N3" s="72"/>
      <c r="O3" s="91" t="s">
        <v>125</v>
      </c>
      <c r="P3" s="76"/>
    </row>
    <row r="4" spans="1:16" ht="18.95" customHeight="1">
      <c r="A4" s="135"/>
      <c r="B4" s="142"/>
      <c r="C4" s="173"/>
      <c r="D4" s="74" t="s">
        <v>31</v>
      </c>
      <c r="E4" s="177"/>
      <c r="F4" s="170"/>
      <c r="G4" s="72"/>
      <c r="H4" s="72"/>
      <c r="I4" s="72"/>
      <c r="J4" s="82" t="s">
        <v>21</v>
      </c>
      <c r="K4" s="72"/>
      <c r="L4" s="72"/>
      <c r="M4" s="72"/>
      <c r="N4" s="72"/>
      <c r="O4" s="91" t="s">
        <v>126</v>
      </c>
      <c r="P4" s="76"/>
    </row>
    <row r="5" spans="1:16" ht="18.95" customHeight="1">
      <c r="A5" s="134"/>
      <c r="B5" s="137"/>
      <c r="C5" s="174"/>
      <c r="D5" s="74" t="s">
        <v>127</v>
      </c>
      <c r="E5" s="176"/>
      <c r="F5" s="171"/>
      <c r="G5" s="72"/>
      <c r="H5" s="72"/>
      <c r="I5" s="72"/>
      <c r="J5" s="82" t="s">
        <v>21</v>
      </c>
      <c r="K5" s="72"/>
      <c r="L5" s="72"/>
      <c r="M5" s="72"/>
      <c r="N5" s="72"/>
      <c r="O5" s="91" t="s">
        <v>128</v>
      </c>
      <c r="P5" s="76"/>
    </row>
    <row r="6" spans="1:16" ht="18.95" customHeight="1">
      <c r="A6" s="72">
        <v>2</v>
      </c>
      <c r="B6" s="73" t="s">
        <v>73</v>
      </c>
      <c r="C6" s="74" t="s">
        <v>25</v>
      </c>
      <c r="D6" s="74" t="s">
        <v>25</v>
      </c>
      <c r="E6" s="86" t="s">
        <v>28</v>
      </c>
      <c r="F6" s="89" t="s">
        <v>32</v>
      </c>
      <c r="G6" s="72"/>
      <c r="H6" s="72"/>
      <c r="I6" s="72"/>
      <c r="J6" s="72" t="s">
        <v>21</v>
      </c>
      <c r="K6" s="72"/>
      <c r="L6" s="72"/>
      <c r="M6" s="72"/>
      <c r="N6" s="72"/>
      <c r="O6" s="78" t="s">
        <v>75</v>
      </c>
      <c r="P6" s="76"/>
    </row>
    <row r="7" spans="1:16" ht="18.95" customHeight="1">
      <c r="A7" s="133">
        <v>3</v>
      </c>
      <c r="B7" s="138" t="s">
        <v>76</v>
      </c>
      <c r="C7" s="138" t="s">
        <v>25</v>
      </c>
      <c r="D7" s="78" t="s">
        <v>25</v>
      </c>
      <c r="E7" s="133" t="s">
        <v>28</v>
      </c>
      <c r="F7" s="133" t="s">
        <v>26</v>
      </c>
      <c r="G7" s="72"/>
      <c r="H7" s="72"/>
      <c r="I7" s="72"/>
      <c r="J7" s="82" t="s">
        <v>21</v>
      </c>
      <c r="K7" s="72"/>
      <c r="L7" s="72"/>
      <c r="M7" s="72"/>
      <c r="N7" s="72"/>
      <c r="O7" s="91" t="s">
        <v>125</v>
      </c>
      <c r="P7" s="76"/>
    </row>
    <row r="8" spans="1:16" ht="18.95" customHeight="1">
      <c r="A8" s="134"/>
      <c r="B8" s="140"/>
      <c r="C8" s="140"/>
      <c r="D8" s="78" t="s">
        <v>127</v>
      </c>
      <c r="E8" s="134"/>
      <c r="F8" s="134"/>
      <c r="G8" s="72"/>
      <c r="H8" s="72"/>
      <c r="I8" s="72"/>
      <c r="J8" s="82" t="s">
        <v>21</v>
      </c>
      <c r="K8" s="72"/>
      <c r="L8" s="72"/>
      <c r="M8" s="72"/>
      <c r="N8" s="72"/>
      <c r="O8" s="91" t="s">
        <v>128</v>
      </c>
      <c r="P8" s="76"/>
    </row>
    <row r="9" spans="1:16" ht="18.95" customHeight="1">
      <c r="A9" s="72">
        <v>4</v>
      </c>
      <c r="B9" s="73" t="s">
        <v>79</v>
      </c>
      <c r="C9" s="74" t="s">
        <v>25</v>
      </c>
      <c r="D9" s="74" t="s">
        <v>25</v>
      </c>
      <c r="E9" s="86" t="s">
        <v>34</v>
      </c>
      <c r="F9" s="89" t="s">
        <v>32</v>
      </c>
      <c r="G9" s="72"/>
      <c r="H9" s="72"/>
      <c r="I9" s="72"/>
      <c r="J9" s="72" t="s">
        <v>21</v>
      </c>
      <c r="K9" s="72"/>
      <c r="L9" s="72"/>
      <c r="M9" s="72"/>
      <c r="N9" s="72"/>
      <c r="O9" s="76" t="s">
        <v>80</v>
      </c>
      <c r="P9" s="76"/>
    </row>
    <row r="10" spans="1:16" ht="18.95" customHeight="1">
      <c r="A10" s="133">
        <v>5</v>
      </c>
      <c r="B10" s="136" t="s">
        <v>81</v>
      </c>
      <c r="C10" s="172" t="s">
        <v>31</v>
      </c>
      <c r="D10" s="74" t="s">
        <v>25</v>
      </c>
      <c r="E10" s="175" t="s">
        <v>34</v>
      </c>
      <c r="F10" s="169" t="s">
        <v>32</v>
      </c>
      <c r="G10" s="72"/>
      <c r="H10" s="72"/>
      <c r="I10" s="82" t="s">
        <v>21</v>
      </c>
      <c r="J10" s="72"/>
      <c r="K10" s="72"/>
      <c r="L10" s="72"/>
      <c r="M10" s="72"/>
      <c r="N10" s="72"/>
      <c r="O10" s="77" t="s">
        <v>84</v>
      </c>
      <c r="P10" s="76"/>
    </row>
    <row r="11" spans="1:16" ht="18.95" customHeight="1">
      <c r="A11" s="135"/>
      <c r="B11" s="142"/>
      <c r="C11" s="173"/>
      <c r="D11" s="74" t="s">
        <v>31</v>
      </c>
      <c r="E11" s="177"/>
      <c r="F11" s="170"/>
      <c r="G11" s="72"/>
      <c r="H11" s="72"/>
      <c r="I11" s="82" t="s">
        <v>21</v>
      </c>
      <c r="J11" s="72"/>
      <c r="K11" s="72"/>
      <c r="L11" s="72"/>
      <c r="M11" s="72"/>
      <c r="N11" s="72"/>
      <c r="O11" s="77"/>
      <c r="P11" s="76"/>
    </row>
    <row r="12" spans="1:16" ht="18.95" customHeight="1">
      <c r="A12" s="134"/>
      <c r="B12" s="137"/>
      <c r="C12" s="174"/>
      <c r="D12" s="74" t="s">
        <v>127</v>
      </c>
      <c r="E12" s="176"/>
      <c r="F12" s="171"/>
      <c r="G12" s="72"/>
      <c r="H12" s="72" t="s">
        <v>21</v>
      </c>
      <c r="I12" s="82"/>
      <c r="J12" s="72"/>
      <c r="K12" s="72"/>
      <c r="L12" s="72"/>
      <c r="M12" s="72"/>
      <c r="N12" s="72"/>
      <c r="O12" s="77"/>
      <c r="P12" s="76"/>
    </row>
    <row r="13" spans="1:16" ht="18.95" customHeight="1">
      <c r="A13" s="133">
        <v>6</v>
      </c>
      <c r="B13" s="136" t="s">
        <v>85</v>
      </c>
      <c r="C13" s="172" t="s">
        <v>86</v>
      </c>
      <c r="D13" s="74" t="s">
        <v>25</v>
      </c>
      <c r="E13" s="175" t="s">
        <v>34</v>
      </c>
      <c r="F13" s="169" t="s">
        <v>61</v>
      </c>
      <c r="G13" s="72"/>
      <c r="H13" s="72"/>
      <c r="I13" s="72"/>
      <c r="J13" s="82" t="s">
        <v>21</v>
      </c>
      <c r="K13" s="72"/>
      <c r="L13" s="72"/>
      <c r="M13" s="72"/>
      <c r="N13" s="72"/>
      <c r="O13" s="77" t="s">
        <v>87</v>
      </c>
      <c r="P13" s="76"/>
    </row>
    <row r="14" spans="1:16" ht="18.95" customHeight="1">
      <c r="A14" s="134"/>
      <c r="B14" s="137"/>
      <c r="C14" s="174"/>
      <c r="D14" s="74" t="s">
        <v>31</v>
      </c>
      <c r="E14" s="176"/>
      <c r="F14" s="171"/>
      <c r="G14" s="72"/>
      <c r="H14" s="72"/>
      <c r="I14" s="72"/>
      <c r="J14" s="82" t="s">
        <v>21</v>
      </c>
      <c r="K14" s="72"/>
      <c r="L14" s="72"/>
      <c r="M14" s="72"/>
      <c r="N14" s="72"/>
      <c r="O14" s="77"/>
      <c r="P14" s="76"/>
    </row>
    <row r="15" spans="1:16" ht="18.95" customHeight="1">
      <c r="A15" s="72">
        <v>7</v>
      </c>
      <c r="B15" s="73" t="s">
        <v>88</v>
      </c>
      <c r="C15" s="74" t="s">
        <v>33</v>
      </c>
      <c r="D15" s="74" t="s">
        <v>33</v>
      </c>
      <c r="E15" s="86" t="s">
        <v>34</v>
      </c>
      <c r="F15" s="89" t="s">
        <v>32</v>
      </c>
      <c r="G15" s="72"/>
      <c r="H15" s="72" t="s">
        <v>21</v>
      </c>
      <c r="I15" s="72"/>
      <c r="J15" s="72"/>
      <c r="K15" s="72" t="s">
        <v>90</v>
      </c>
      <c r="L15" s="72" t="s">
        <v>90</v>
      </c>
      <c r="M15" s="72" t="s">
        <v>90</v>
      </c>
      <c r="N15" s="72" t="s">
        <v>90</v>
      </c>
      <c r="O15" s="76" t="s">
        <v>91</v>
      </c>
      <c r="P15" s="76"/>
    </row>
    <row r="16" spans="1:16" ht="18.95" customHeight="1">
      <c r="A16" s="72">
        <v>8</v>
      </c>
      <c r="B16" s="73" t="s">
        <v>92</v>
      </c>
      <c r="C16" s="74" t="s">
        <v>33</v>
      </c>
      <c r="D16" s="74" t="s">
        <v>33</v>
      </c>
      <c r="E16" s="86" t="s">
        <v>34</v>
      </c>
      <c r="F16" s="89" t="s">
        <v>32</v>
      </c>
      <c r="G16" s="72"/>
      <c r="H16" s="72"/>
      <c r="I16" s="72"/>
      <c r="J16" s="72" t="s">
        <v>21</v>
      </c>
      <c r="K16" s="72" t="s">
        <v>90</v>
      </c>
      <c r="L16" s="72" t="s">
        <v>90</v>
      </c>
      <c r="M16" s="72" t="s">
        <v>90</v>
      </c>
      <c r="N16" s="72" t="s">
        <v>90</v>
      </c>
      <c r="O16" s="76" t="s">
        <v>93</v>
      </c>
      <c r="P16" s="76"/>
    </row>
    <row r="17" spans="1:16" ht="18.95" customHeight="1">
      <c r="A17" s="72">
        <v>9</v>
      </c>
      <c r="B17" s="74" t="s">
        <v>94</v>
      </c>
      <c r="C17" s="74" t="s">
        <v>33</v>
      </c>
      <c r="D17" s="74" t="s">
        <v>33</v>
      </c>
      <c r="E17" s="88" t="s">
        <v>34</v>
      </c>
      <c r="F17" s="89" t="s">
        <v>32</v>
      </c>
      <c r="G17" s="72"/>
      <c r="H17" s="72"/>
      <c r="I17" s="72"/>
      <c r="J17" s="72" t="s">
        <v>21</v>
      </c>
      <c r="K17" s="72" t="s">
        <v>90</v>
      </c>
      <c r="L17" s="72" t="s">
        <v>90</v>
      </c>
      <c r="M17" s="72" t="s">
        <v>90</v>
      </c>
      <c r="N17" s="72" t="s">
        <v>90</v>
      </c>
      <c r="O17" s="76" t="s">
        <v>93</v>
      </c>
      <c r="P17" s="76"/>
    </row>
    <row r="18" spans="1:16" ht="18.95" customHeight="1">
      <c r="A18" s="72">
        <v>10</v>
      </c>
      <c r="B18" s="74" t="s">
        <v>95</v>
      </c>
      <c r="C18" s="74" t="s">
        <v>25</v>
      </c>
      <c r="D18" s="74" t="s">
        <v>25</v>
      </c>
      <c r="E18" s="88" t="s">
        <v>34</v>
      </c>
      <c r="F18" s="89" t="s">
        <v>26</v>
      </c>
      <c r="G18" s="72" t="s">
        <v>21</v>
      </c>
      <c r="H18" s="72"/>
      <c r="I18" s="72"/>
      <c r="J18" s="72"/>
      <c r="K18" s="72"/>
      <c r="L18" s="72"/>
      <c r="M18" s="72"/>
      <c r="N18" s="72"/>
      <c r="O18" s="76" t="s">
        <v>96</v>
      </c>
      <c r="P18" s="76"/>
    </row>
    <row r="19" spans="1:16" ht="18.95" customHeight="1">
      <c r="A19" s="72">
        <v>11</v>
      </c>
      <c r="B19" s="73" t="s">
        <v>97</v>
      </c>
      <c r="C19" s="74" t="s">
        <v>33</v>
      </c>
      <c r="D19" s="78" t="s">
        <v>129</v>
      </c>
      <c r="E19" s="86" t="s">
        <v>34</v>
      </c>
      <c r="F19" s="89" t="s">
        <v>26</v>
      </c>
      <c r="G19" s="72" t="s">
        <v>21</v>
      </c>
      <c r="H19" s="72"/>
      <c r="I19" s="72"/>
      <c r="J19" s="72"/>
      <c r="K19" s="72" t="s">
        <v>90</v>
      </c>
      <c r="L19" s="72" t="s">
        <v>90</v>
      </c>
      <c r="M19" s="72" t="s">
        <v>90</v>
      </c>
      <c r="N19" s="72" t="s">
        <v>90</v>
      </c>
      <c r="O19" s="76" t="s">
        <v>99</v>
      </c>
      <c r="P19" s="76"/>
    </row>
    <row r="20" spans="1:16" ht="18.95" customHeight="1">
      <c r="A20" s="72">
        <v>12</v>
      </c>
      <c r="B20" s="78" t="s">
        <v>100</v>
      </c>
      <c r="C20" s="78" t="s">
        <v>35</v>
      </c>
      <c r="D20" s="78" t="s">
        <v>130</v>
      </c>
      <c r="E20" s="72" t="s">
        <v>34</v>
      </c>
      <c r="F20" s="72" t="s">
        <v>26</v>
      </c>
      <c r="G20" s="72"/>
      <c r="H20" s="72"/>
      <c r="I20" s="72"/>
      <c r="J20" s="72"/>
      <c r="K20" s="72"/>
      <c r="L20" s="72"/>
      <c r="M20" s="72"/>
      <c r="N20" s="72"/>
      <c r="O20" s="76" t="s">
        <v>101</v>
      </c>
      <c r="P20" s="76"/>
    </row>
    <row r="21" spans="1:16" ht="18.95" customHeight="1">
      <c r="A21" s="133">
        <v>13</v>
      </c>
      <c r="B21" s="138" t="s">
        <v>102</v>
      </c>
      <c r="C21" s="138" t="s">
        <v>35</v>
      </c>
      <c r="D21" s="78" t="s">
        <v>25</v>
      </c>
      <c r="E21" s="133" t="s">
        <v>34</v>
      </c>
      <c r="F21" s="133" t="s">
        <v>26</v>
      </c>
      <c r="G21" s="82" t="s">
        <v>21</v>
      </c>
      <c r="H21" s="72"/>
      <c r="I21" s="72"/>
      <c r="J21" s="72"/>
      <c r="K21" s="72"/>
      <c r="L21" s="72"/>
      <c r="M21" s="72"/>
      <c r="N21" s="72"/>
      <c r="O21" s="77" t="s">
        <v>104</v>
      </c>
      <c r="P21" s="76"/>
    </row>
    <row r="22" spans="1:16" ht="18.95" customHeight="1">
      <c r="A22" s="135"/>
      <c r="B22" s="139"/>
      <c r="C22" s="139"/>
      <c r="D22" s="78" t="s">
        <v>127</v>
      </c>
      <c r="E22" s="135"/>
      <c r="F22" s="135"/>
      <c r="G22" s="82"/>
      <c r="H22" s="72"/>
      <c r="I22" s="72"/>
      <c r="J22" s="72" t="s">
        <v>21</v>
      </c>
      <c r="K22" s="72"/>
      <c r="L22" s="72"/>
      <c r="M22" s="72"/>
      <c r="N22" s="72"/>
      <c r="O22" s="77"/>
      <c r="P22" s="76"/>
    </row>
    <row r="23" spans="1:16" ht="18.95" customHeight="1">
      <c r="A23" s="135"/>
      <c r="B23" s="139"/>
      <c r="C23" s="139"/>
      <c r="D23" s="78" t="s">
        <v>35</v>
      </c>
      <c r="E23" s="135"/>
      <c r="F23" s="135"/>
      <c r="G23" s="82" t="s">
        <v>21</v>
      </c>
      <c r="H23" s="72"/>
      <c r="I23" s="72"/>
      <c r="J23" s="72"/>
      <c r="K23" s="72"/>
      <c r="L23" s="72"/>
      <c r="M23" s="72"/>
      <c r="N23" s="72"/>
      <c r="O23" s="77"/>
      <c r="P23" s="76"/>
    </row>
    <row r="24" spans="1:16" ht="18.95" customHeight="1">
      <c r="A24" s="134"/>
      <c r="B24" s="140"/>
      <c r="C24" s="140"/>
      <c r="D24" s="78" t="s">
        <v>33</v>
      </c>
      <c r="E24" s="134"/>
      <c r="F24" s="134"/>
      <c r="G24" s="82" t="s">
        <v>21</v>
      </c>
      <c r="H24" s="72"/>
      <c r="I24" s="72"/>
      <c r="J24" s="72"/>
      <c r="K24" s="72"/>
      <c r="L24" s="72"/>
      <c r="M24" s="72"/>
      <c r="N24" s="72"/>
      <c r="O24" s="77"/>
      <c r="P24" s="76"/>
    </row>
    <row r="25" spans="1:16" ht="18.95" customHeight="1">
      <c r="A25" s="72">
        <v>14</v>
      </c>
      <c r="B25" s="73" t="s">
        <v>105</v>
      </c>
      <c r="C25" s="74" t="s">
        <v>36</v>
      </c>
      <c r="D25" s="78" t="s">
        <v>129</v>
      </c>
      <c r="E25" s="86" t="s">
        <v>38</v>
      </c>
      <c r="F25" s="89" t="s">
        <v>32</v>
      </c>
      <c r="G25" s="72" t="s">
        <v>21</v>
      </c>
      <c r="H25" s="72"/>
      <c r="I25" s="72"/>
      <c r="J25" s="72"/>
      <c r="K25" s="72"/>
      <c r="L25" s="72"/>
      <c r="M25" s="72"/>
      <c r="N25" s="72"/>
      <c r="O25" s="76" t="s">
        <v>106</v>
      </c>
      <c r="P25" s="76"/>
    </row>
    <row r="26" spans="1:16" ht="18.95" customHeight="1">
      <c r="A26" s="72">
        <v>15</v>
      </c>
      <c r="B26" s="73" t="s">
        <v>107</v>
      </c>
      <c r="C26" s="74" t="s">
        <v>36</v>
      </c>
      <c r="D26" s="78" t="s">
        <v>130</v>
      </c>
      <c r="E26" s="86" t="s">
        <v>38</v>
      </c>
      <c r="F26" s="89" t="s">
        <v>32</v>
      </c>
      <c r="G26" s="72"/>
      <c r="H26" s="72"/>
      <c r="I26" s="72"/>
      <c r="J26" s="72"/>
      <c r="K26" s="72"/>
      <c r="L26" s="72"/>
      <c r="M26" s="72"/>
      <c r="N26" s="72"/>
      <c r="O26" s="76"/>
      <c r="P26" s="76"/>
    </row>
    <row r="27" spans="1:16" ht="18.95" customHeight="1">
      <c r="A27" s="72">
        <v>16</v>
      </c>
      <c r="B27" s="73" t="s">
        <v>108</v>
      </c>
      <c r="C27" s="74" t="s">
        <v>36</v>
      </c>
      <c r="D27" s="78" t="s">
        <v>130</v>
      </c>
      <c r="E27" s="86" t="s">
        <v>38</v>
      </c>
      <c r="F27" s="89" t="s">
        <v>26</v>
      </c>
      <c r="G27" s="72"/>
      <c r="H27" s="72"/>
      <c r="I27" s="72"/>
      <c r="J27" s="72"/>
      <c r="K27" s="72"/>
      <c r="L27" s="72"/>
      <c r="M27" s="72"/>
      <c r="N27" s="72"/>
      <c r="O27" s="76" t="s">
        <v>101</v>
      </c>
      <c r="P27" s="76"/>
    </row>
    <row r="28" spans="1:16" ht="18.95" customHeight="1">
      <c r="A28" s="72">
        <v>17</v>
      </c>
      <c r="B28" s="78" t="s">
        <v>109</v>
      </c>
      <c r="C28" s="78" t="s">
        <v>33</v>
      </c>
      <c r="D28" s="78" t="s">
        <v>129</v>
      </c>
      <c r="E28" s="72" t="s">
        <v>34</v>
      </c>
      <c r="F28" s="72" t="s">
        <v>26</v>
      </c>
      <c r="G28" s="72" t="s">
        <v>21</v>
      </c>
      <c r="H28" s="72"/>
      <c r="I28" s="72"/>
      <c r="J28" s="72"/>
      <c r="K28" s="72" t="s">
        <v>90</v>
      </c>
      <c r="L28" s="72" t="s">
        <v>90</v>
      </c>
      <c r="M28" s="72" t="s">
        <v>90</v>
      </c>
      <c r="N28" s="72" t="s">
        <v>90</v>
      </c>
      <c r="O28" s="76" t="s">
        <v>99</v>
      </c>
      <c r="P28" s="76"/>
    </row>
    <row r="29" spans="1:16" ht="18.95" customHeight="1">
      <c r="A29" s="72">
        <v>18</v>
      </c>
      <c r="B29" s="78" t="s">
        <v>110</v>
      </c>
      <c r="C29" s="78" t="s">
        <v>25</v>
      </c>
      <c r="D29" s="78" t="s">
        <v>25</v>
      </c>
      <c r="E29" s="72" t="s">
        <v>34</v>
      </c>
      <c r="F29" s="72" t="s">
        <v>26</v>
      </c>
      <c r="G29" s="72" t="s">
        <v>21</v>
      </c>
      <c r="H29" s="72"/>
      <c r="I29" s="72"/>
      <c r="J29" s="72"/>
      <c r="K29" s="72"/>
      <c r="L29" s="72"/>
      <c r="M29" s="72"/>
      <c r="N29" s="72"/>
      <c r="O29" s="76" t="s">
        <v>96</v>
      </c>
      <c r="P29" s="76"/>
    </row>
    <row r="30" spans="1:16" ht="18.95" customHeight="1">
      <c r="A30" s="72">
        <v>19</v>
      </c>
      <c r="B30" s="74" t="s">
        <v>111</v>
      </c>
      <c r="C30" s="78" t="s">
        <v>33</v>
      </c>
      <c r="D30" s="78" t="s">
        <v>129</v>
      </c>
      <c r="E30" s="72" t="s">
        <v>34</v>
      </c>
      <c r="F30" s="72" t="s">
        <v>26</v>
      </c>
      <c r="G30" s="72" t="s">
        <v>21</v>
      </c>
      <c r="H30" s="72"/>
      <c r="I30" s="72"/>
      <c r="J30" s="72"/>
      <c r="K30" s="72" t="s">
        <v>90</v>
      </c>
      <c r="L30" s="72" t="s">
        <v>90</v>
      </c>
      <c r="M30" s="72" t="s">
        <v>90</v>
      </c>
      <c r="N30" s="72" t="s">
        <v>90</v>
      </c>
      <c r="O30" s="76" t="s">
        <v>99</v>
      </c>
      <c r="P30" s="76"/>
    </row>
    <row r="31" spans="1:16" ht="18.95" customHeight="1">
      <c r="A31" s="72">
        <v>20</v>
      </c>
      <c r="B31" s="78" t="s">
        <v>112</v>
      </c>
      <c r="C31" s="78" t="s">
        <v>31</v>
      </c>
      <c r="D31" s="78" t="s">
        <v>130</v>
      </c>
      <c r="E31" s="72" t="s">
        <v>28</v>
      </c>
      <c r="F31" s="72" t="s">
        <v>26</v>
      </c>
      <c r="G31" s="72"/>
      <c r="H31" s="72"/>
      <c r="I31" s="72"/>
      <c r="J31" s="72"/>
      <c r="K31" s="72"/>
      <c r="L31" s="72"/>
      <c r="M31" s="72"/>
      <c r="N31" s="81"/>
      <c r="O31" s="79" t="s">
        <v>101</v>
      </c>
      <c r="P31" s="76"/>
    </row>
    <row r="32" spans="1:16" ht="18.95" customHeight="1">
      <c r="A32" s="72">
        <v>21</v>
      </c>
      <c r="B32" s="78" t="s">
        <v>113</v>
      </c>
      <c r="C32" s="78" t="s">
        <v>31</v>
      </c>
      <c r="D32" s="78" t="s">
        <v>129</v>
      </c>
      <c r="E32" s="72" t="s">
        <v>34</v>
      </c>
      <c r="F32" s="72" t="s">
        <v>32</v>
      </c>
      <c r="G32" s="72" t="s">
        <v>21</v>
      </c>
      <c r="H32" s="72"/>
      <c r="I32" s="72"/>
      <c r="J32" s="72"/>
      <c r="K32" s="72"/>
      <c r="L32" s="72"/>
      <c r="M32" s="72"/>
      <c r="N32" s="81"/>
      <c r="O32" s="79" t="s">
        <v>99</v>
      </c>
      <c r="P32" s="76"/>
    </row>
    <row r="33" spans="1:16" ht="18.95" customHeight="1">
      <c r="A33" s="72">
        <v>22</v>
      </c>
      <c r="B33" s="78" t="s">
        <v>114</v>
      </c>
      <c r="C33" s="78" t="s">
        <v>25</v>
      </c>
      <c r="D33" s="78" t="s">
        <v>130</v>
      </c>
      <c r="E33" s="72" t="s">
        <v>28</v>
      </c>
      <c r="F33" s="72" t="s">
        <v>26</v>
      </c>
      <c r="G33" s="72"/>
      <c r="H33" s="72"/>
      <c r="I33" s="72"/>
      <c r="J33" s="72"/>
      <c r="K33" s="72"/>
      <c r="L33" s="72"/>
      <c r="M33" s="72"/>
      <c r="N33" s="81"/>
      <c r="O33" s="79" t="s">
        <v>101</v>
      </c>
      <c r="P33" s="76"/>
    </row>
    <row r="34" spans="1:16" ht="18.95" customHeight="1">
      <c r="A34" s="72">
        <v>23</v>
      </c>
      <c r="B34" s="78" t="s">
        <v>115</v>
      </c>
      <c r="C34" s="78" t="s">
        <v>25</v>
      </c>
      <c r="D34" s="78" t="s">
        <v>130</v>
      </c>
      <c r="E34" s="72" t="s">
        <v>28</v>
      </c>
      <c r="F34" s="72" t="s">
        <v>26</v>
      </c>
      <c r="G34" s="72"/>
      <c r="H34" s="72"/>
      <c r="I34" s="72"/>
      <c r="J34" s="72"/>
      <c r="K34" s="72"/>
      <c r="L34" s="72"/>
      <c r="M34" s="72"/>
      <c r="N34" s="81"/>
      <c r="O34" s="79" t="s">
        <v>101</v>
      </c>
      <c r="P34" s="76"/>
    </row>
    <row r="35" spans="1:16" ht="18.95" customHeight="1">
      <c r="A35" s="133">
        <v>24</v>
      </c>
      <c r="B35" s="138" t="s">
        <v>116</v>
      </c>
      <c r="C35" s="138" t="s">
        <v>37</v>
      </c>
      <c r="D35" s="78" t="s">
        <v>127</v>
      </c>
      <c r="E35" s="133" t="s">
        <v>34</v>
      </c>
      <c r="F35" s="133" t="s">
        <v>32</v>
      </c>
      <c r="G35" s="72"/>
      <c r="H35" s="72"/>
      <c r="I35" s="72"/>
      <c r="J35" s="72" t="s">
        <v>21</v>
      </c>
      <c r="K35" s="72"/>
      <c r="L35" s="72"/>
      <c r="M35" s="72"/>
      <c r="N35" s="81"/>
      <c r="O35" s="83" t="s">
        <v>117</v>
      </c>
      <c r="P35" s="76"/>
    </row>
    <row r="36" spans="1:16" ht="18.95" customHeight="1">
      <c r="A36" s="134"/>
      <c r="B36" s="140"/>
      <c r="C36" s="140"/>
      <c r="D36" s="78" t="s">
        <v>129</v>
      </c>
      <c r="E36" s="134"/>
      <c r="F36" s="134"/>
      <c r="G36" s="72" t="s">
        <v>21</v>
      </c>
      <c r="H36" s="72"/>
      <c r="I36" s="72"/>
      <c r="J36" s="72"/>
      <c r="K36" s="72"/>
      <c r="L36" s="72"/>
      <c r="M36" s="72"/>
      <c r="N36" s="81"/>
      <c r="O36" s="83"/>
      <c r="P36" s="76"/>
    </row>
    <row r="37" spans="1:16" ht="18.95" customHeight="1">
      <c r="A37" s="72">
        <v>25</v>
      </c>
      <c r="B37" s="78" t="s">
        <v>118</v>
      </c>
      <c r="C37" s="78" t="s">
        <v>33</v>
      </c>
      <c r="D37" s="78" t="s">
        <v>130</v>
      </c>
      <c r="E37" s="72" t="s">
        <v>34</v>
      </c>
      <c r="F37" s="72" t="s">
        <v>26</v>
      </c>
      <c r="G37" s="72"/>
      <c r="H37" s="72"/>
      <c r="I37" s="72"/>
      <c r="J37" s="72"/>
      <c r="K37" s="72" t="s">
        <v>90</v>
      </c>
      <c r="L37" s="72" t="s">
        <v>90</v>
      </c>
      <c r="M37" s="72" t="s">
        <v>90</v>
      </c>
      <c r="N37" s="72" t="s">
        <v>90</v>
      </c>
      <c r="O37" s="79"/>
      <c r="P37" s="76"/>
    </row>
    <row r="38" spans="1:16" ht="18.95" customHeight="1">
      <c r="A38" s="133">
        <v>26</v>
      </c>
      <c r="B38" s="138" t="s">
        <v>119</v>
      </c>
      <c r="C38" s="138" t="s">
        <v>33</v>
      </c>
      <c r="D38" s="78" t="s">
        <v>25</v>
      </c>
      <c r="E38" s="133" t="s">
        <v>34</v>
      </c>
      <c r="F38" s="133" t="s">
        <v>26</v>
      </c>
      <c r="G38" s="72"/>
      <c r="H38" s="82" t="s">
        <v>21</v>
      </c>
      <c r="I38" s="72"/>
      <c r="J38" s="72"/>
      <c r="K38" s="72"/>
      <c r="L38" s="72"/>
      <c r="M38" s="72"/>
      <c r="N38" s="72"/>
      <c r="O38" s="80" t="s">
        <v>121</v>
      </c>
      <c r="P38" s="76"/>
    </row>
    <row r="39" spans="1:16" ht="18.95" customHeight="1">
      <c r="A39" s="135"/>
      <c r="B39" s="139"/>
      <c r="C39" s="139"/>
      <c r="D39" s="78" t="s">
        <v>127</v>
      </c>
      <c r="E39" s="135"/>
      <c r="F39" s="135"/>
      <c r="G39" s="72"/>
      <c r="H39" s="82"/>
      <c r="I39" s="72"/>
      <c r="J39" s="72" t="s">
        <v>21</v>
      </c>
      <c r="K39" s="72"/>
      <c r="L39" s="72"/>
      <c r="M39" s="72"/>
      <c r="N39" s="72"/>
      <c r="O39" s="80"/>
      <c r="P39" s="76"/>
    </row>
    <row r="40" spans="1:16" ht="18.95" customHeight="1">
      <c r="A40" s="134"/>
      <c r="B40" s="140"/>
      <c r="C40" s="140"/>
      <c r="D40" s="78" t="s">
        <v>33</v>
      </c>
      <c r="E40" s="134"/>
      <c r="F40" s="134"/>
      <c r="G40" s="72"/>
      <c r="H40" s="82" t="s">
        <v>21</v>
      </c>
      <c r="I40" s="72"/>
      <c r="J40" s="72"/>
      <c r="K40" s="72" t="s">
        <v>90</v>
      </c>
      <c r="L40" s="72" t="s">
        <v>90</v>
      </c>
      <c r="M40" s="72" t="s">
        <v>90</v>
      </c>
      <c r="N40" s="72" t="s">
        <v>90</v>
      </c>
      <c r="O40" s="80"/>
      <c r="P40" s="76"/>
    </row>
    <row r="41" spans="1:16" ht="18.95" customHeight="1">
      <c r="A41" s="72">
        <v>27</v>
      </c>
      <c r="B41" s="78" t="s">
        <v>122</v>
      </c>
      <c r="C41" s="78" t="s">
        <v>25</v>
      </c>
      <c r="D41" s="78" t="s">
        <v>127</v>
      </c>
      <c r="E41" s="72" t="s">
        <v>34</v>
      </c>
      <c r="F41" s="72" t="s">
        <v>32</v>
      </c>
      <c r="G41" s="72"/>
      <c r="H41" s="72" t="s">
        <v>21</v>
      </c>
      <c r="I41" s="72"/>
      <c r="J41" s="72"/>
      <c r="K41" s="72"/>
      <c r="L41" s="72"/>
      <c r="M41" s="72"/>
      <c r="N41" s="72"/>
      <c r="O41" s="76" t="s">
        <v>123</v>
      </c>
      <c r="P41" s="76"/>
    </row>
  </sheetData>
  <autoFilter ref="A2:N41" xr:uid="{C49612FA-9CB5-4CE8-876F-E3723F837B12}"/>
  <mergeCells count="36">
    <mergeCell ref="F7:F8"/>
    <mergeCell ref="C7:C8"/>
    <mergeCell ref="K1:N1"/>
    <mergeCell ref="B3:B5"/>
    <mergeCell ref="A3:A5"/>
    <mergeCell ref="C3:C5"/>
    <mergeCell ref="E3:E5"/>
    <mergeCell ref="F3:F5"/>
    <mergeCell ref="A13:A14"/>
    <mergeCell ref="A10:A12"/>
    <mergeCell ref="A7:A8"/>
    <mergeCell ref="B7:B8"/>
    <mergeCell ref="E7:E8"/>
    <mergeCell ref="B10:B12"/>
    <mergeCell ref="E10:E12"/>
    <mergeCell ref="F10:F12"/>
    <mergeCell ref="C10:C12"/>
    <mergeCell ref="B13:B14"/>
    <mergeCell ref="C13:C14"/>
    <mergeCell ref="E13:E14"/>
    <mergeCell ref="F13:F14"/>
    <mergeCell ref="A35:A36"/>
    <mergeCell ref="B35:B36"/>
    <mergeCell ref="C35:C36"/>
    <mergeCell ref="E35:E36"/>
    <mergeCell ref="F35:F36"/>
    <mergeCell ref="A21:A24"/>
    <mergeCell ref="B21:B24"/>
    <mergeCell ref="C21:C24"/>
    <mergeCell ref="E21:E24"/>
    <mergeCell ref="F21:F24"/>
    <mergeCell ref="A38:A40"/>
    <mergeCell ref="B38:B40"/>
    <mergeCell ref="C38:C40"/>
    <mergeCell ref="E38:E40"/>
    <mergeCell ref="F38:F40"/>
  </mergeCells>
  <dataValidations count="3">
    <dataValidation type="list" allowBlank="1" showErrorMessage="1" sqref="F3 F6:F7 F9:F10 F13 F15:F21 F25:F35 F37:F38 F41" xr:uid="{0C8018AE-4B26-4918-BAE2-B373D27306A0}">
      <formula1>"Lead,Associate,Specialist"</formula1>
    </dataValidation>
    <dataValidation type="list" allowBlank="1" showErrorMessage="1" sqref="E3 E6:E7 E9:E10 E13 E15:E21 E25:E35 E37:E38 E41" xr:uid="{A2EF2E64-270E-4C9F-B607-25794EE90CF3}">
      <formula1>"Dev,BA,QA"</formula1>
    </dataValidation>
    <dataValidation type="list" allowBlank="1" showErrorMessage="1" sqref="C3 C6:C7 D38:D41 C9:C10 C13 D3:D18 C15:C21 D21:D24 D29 D35 C25:C35 C37:C38 C41" xr:uid="{78DFEE20-C8D6-4828-B082-AFB7E91D41EF}">
      <formula1>"BillingCenter,ClaimCenter,Conversion,Data,Datahub,DHIC,Digital,Integration,Migration,PolicyCenter,Portal,Print,Testing,Transition,Others"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0860-9CC7-4621-BA08-823452FCEDA3}">
  <dimension ref="A1:P41"/>
  <sheetViews>
    <sheetView tabSelected="1" zoomScale="90" zoomScaleNormal="90" workbookViewId="0">
      <pane xSplit="3" ySplit="2" topLeftCell="K35" activePane="bottomRight" state="frozen"/>
      <selection pane="bottomRight" activeCell="P13" sqref="P13"/>
      <selection pane="bottomLeft" activeCell="A3" sqref="A3"/>
      <selection pane="topRight" activeCell="D1" sqref="D1"/>
    </sheetView>
  </sheetViews>
  <sheetFormatPr defaultColWidth="8.5703125" defaultRowHeight="12.95"/>
  <cols>
    <col min="1" max="1" width="4.85546875" style="48" bestFit="1" customWidth="1"/>
    <col min="2" max="2" width="22.140625" style="48" customWidth="1"/>
    <col min="3" max="3" width="24.5703125" style="48" hidden="1" customWidth="1"/>
    <col min="4" max="4" width="12.5703125" style="48" customWidth="1"/>
    <col min="5" max="5" width="17.85546875" style="48" customWidth="1"/>
    <col min="6" max="6" width="8.5703125" style="48"/>
    <col min="7" max="7" width="10.42578125" style="48" customWidth="1"/>
    <col min="8" max="8" width="11.5703125" style="48" customWidth="1"/>
    <col min="9" max="9" width="12.42578125" style="48" bestFit="1" customWidth="1"/>
    <col min="10" max="10" width="16.42578125" style="48" customWidth="1"/>
    <col min="11" max="11" width="33.5703125" style="48" customWidth="1"/>
    <col min="12" max="12" width="34.85546875" style="48" customWidth="1"/>
    <col min="13" max="13" width="38.42578125" style="48" customWidth="1"/>
    <col min="14" max="14" width="42.42578125" style="48" customWidth="1"/>
    <col min="15" max="15" width="47.5703125" style="48" customWidth="1"/>
    <col min="16" max="16" width="10.5703125" style="48" bestFit="1" customWidth="1"/>
    <col min="17" max="16384" width="8.5703125" style="48"/>
  </cols>
  <sheetData>
    <row r="1" spans="1:16" ht="18.95" customHeight="1">
      <c r="K1" s="141" t="s">
        <v>57</v>
      </c>
      <c r="L1" s="141"/>
      <c r="M1" s="141"/>
      <c r="N1" s="141"/>
    </row>
    <row r="2" spans="1:16" ht="18.95" customHeight="1">
      <c r="A2" s="90" t="s">
        <v>58</v>
      </c>
      <c r="B2" s="71" t="s">
        <v>131</v>
      </c>
      <c r="C2" s="71" t="s">
        <v>59</v>
      </c>
      <c r="D2" s="71" t="s">
        <v>18</v>
      </c>
      <c r="E2" s="71" t="s">
        <v>39</v>
      </c>
      <c r="F2" s="71" t="s">
        <v>19</v>
      </c>
      <c r="G2" s="71" t="s">
        <v>20</v>
      </c>
      <c r="H2" s="71" t="s">
        <v>26</v>
      </c>
      <c r="I2" s="71" t="s">
        <v>61</v>
      </c>
      <c r="J2" s="71" t="s">
        <v>124</v>
      </c>
      <c r="K2" s="132" t="s">
        <v>132</v>
      </c>
      <c r="L2" s="132" t="s">
        <v>133</v>
      </c>
      <c r="M2" s="132" t="s">
        <v>134</v>
      </c>
      <c r="N2" s="132" t="s">
        <v>135</v>
      </c>
      <c r="O2" s="71" t="s">
        <v>68</v>
      </c>
      <c r="P2" s="71" t="s">
        <v>69</v>
      </c>
    </row>
    <row r="3" spans="1:16" ht="18.95" customHeight="1">
      <c r="A3" s="133">
        <v>1</v>
      </c>
      <c r="B3" s="136" t="s">
        <v>70</v>
      </c>
      <c r="C3" s="99" t="s">
        <v>70</v>
      </c>
      <c r="D3" s="92" t="s">
        <v>31</v>
      </c>
      <c r="E3" s="74" t="s">
        <v>25</v>
      </c>
      <c r="F3" s="87" t="s">
        <v>28</v>
      </c>
      <c r="G3" s="94" t="s">
        <v>32</v>
      </c>
      <c r="H3" s="82" t="s">
        <v>21</v>
      </c>
      <c r="I3" s="82" t="s">
        <v>21</v>
      </c>
      <c r="J3" s="82" t="s">
        <v>21</v>
      </c>
      <c r="K3" s="72"/>
      <c r="L3" s="72"/>
      <c r="M3" s="72"/>
      <c r="N3" s="72"/>
      <c r="O3" s="91" t="s">
        <v>125</v>
      </c>
      <c r="P3" s="76"/>
    </row>
    <row r="4" spans="1:16" ht="18.95" customHeight="1">
      <c r="A4" s="135"/>
      <c r="B4" s="142"/>
      <c r="C4" s="99" t="s">
        <v>70</v>
      </c>
      <c r="D4" s="92" t="s">
        <v>31</v>
      </c>
      <c r="E4" s="74" t="s">
        <v>31</v>
      </c>
      <c r="F4" s="87" t="s">
        <v>28</v>
      </c>
      <c r="G4" s="89" t="s">
        <v>32</v>
      </c>
      <c r="H4" s="82" t="s">
        <v>21</v>
      </c>
      <c r="I4" s="82" t="s">
        <v>21</v>
      </c>
      <c r="J4" s="82" t="s">
        <v>21</v>
      </c>
      <c r="K4" s="72"/>
      <c r="L4" s="72"/>
      <c r="M4" s="72"/>
      <c r="N4" s="72"/>
      <c r="O4" s="91" t="s">
        <v>126</v>
      </c>
      <c r="P4" s="76"/>
    </row>
    <row r="5" spans="1:16" ht="18.95" customHeight="1">
      <c r="A5" s="134"/>
      <c r="B5" s="137"/>
      <c r="C5" s="99" t="s">
        <v>70</v>
      </c>
      <c r="D5" s="92" t="s">
        <v>31</v>
      </c>
      <c r="E5" s="74" t="s">
        <v>127</v>
      </c>
      <c r="F5" s="87" t="s">
        <v>28</v>
      </c>
      <c r="G5" s="89" t="s">
        <v>32</v>
      </c>
      <c r="H5" s="82" t="s">
        <v>21</v>
      </c>
      <c r="I5" s="82" t="s">
        <v>21</v>
      </c>
      <c r="J5" s="82" t="s">
        <v>21</v>
      </c>
      <c r="K5" s="72"/>
      <c r="L5" s="72"/>
      <c r="M5" s="72"/>
      <c r="N5" s="72"/>
      <c r="O5" s="91" t="s">
        <v>128</v>
      </c>
      <c r="P5" s="76"/>
    </row>
    <row r="6" spans="1:16" ht="18.95" customHeight="1">
      <c r="A6" s="72">
        <v>2</v>
      </c>
      <c r="B6" s="73" t="s">
        <v>73</v>
      </c>
      <c r="C6" s="73" t="s">
        <v>73</v>
      </c>
      <c r="D6" s="74" t="s">
        <v>25</v>
      </c>
      <c r="E6" s="74" t="s">
        <v>25</v>
      </c>
      <c r="F6" s="86" t="s">
        <v>28</v>
      </c>
      <c r="G6" s="89" t="s">
        <v>32</v>
      </c>
      <c r="H6" s="82" t="s">
        <v>21</v>
      </c>
      <c r="I6" s="82" t="s">
        <v>21</v>
      </c>
      <c r="J6" s="72" t="s">
        <v>21</v>
      </c>
      <c r="K6" s="72"/>
      <c r="L6" s="72"/>
      <c r="M6" s="72"/>
      <c r="N6" s="72"/>
      <c r="O6" s="78" t="s">
        <v>75</v>
      </c>
      <c r="P6" s="76"/>
    </row>
    <row r="7" spans="1:16" ht="18.95" customHeight="1">
      <c r="A7" s="133">
        <v>3</v>
      </c>
      <c r="B7" s="138" t="s">
        <v>76</v>
      </c>
      <c r="C7" s="93" t="s">
        <v>76</v>
      </c>
      <c r="D7" s="93" t="s">
        <v>25</v>
      </c>
      <c r="E7" s="78" t="s">
        <v>25</v>
      </c>
      <c r="F7" s="86" t="s">
        <v>28</v>
      </c>
      <c r="G7" s="81" t="s">
        <v>26</v>
      </c>
      <c r="H7" s="82" t="s">
        <v>21</v>
      </c>
      <c r="I7" s="82" t="s">
        <v>21</v>
      </c>
      <c r="J7" s="82" t="s">
        <v>21</v>
      </c>
      <c r="K7" s="72"/>
      <c r="L7" s="72"/>
      <c r="M7" s="72"/>
      <c r="N7" s="72"/>
      <c r="O7" s="91" t="s">
        <v>125</v>
      </c>
      <c r="P7" s="76"/>
    </row>
    <row r="8" spans="1:16" ht="18.95" customHeight="1">
      <c r="A8" s="134"/>
      <c r="B8" s="140"/>
      <c r="C8" s="93" t="s">
        <v>76</v>
      </c>
      <c r="D8" s="93" t="s">
        <v>25</v>
      </c>
      <c r="E8" s="78" t="s">
        <v>127</v>
      </c>
      <c r="F8" s="86" t="s">
        <v>28</v>
      </c>
      <c r="G8" s="81" t="s">
        <v>26</v>
      </c>
      <c r="H8" s="82" t="s">
        <v>21</v>
      </c>
      <c r="I8" s="82" t="s">
        <v>21</v>
      </c>
      <c r="J8" s="82" t="s">
        <v>21</v>
      </c>
      <c r="K8" s="72"/>
      <c r="L8" s="72"/>
      <c r="M8" s="72"/>
      <c r="N8" s="72"/>
      <c r="O8" s="91" t="s">
        <v>128</v>
      </c>
      <c r="P8" s="76"/>
    </row>
    <row r="9" spans="1:16" ht="18.95" customHeight="1">
      <c r="A9" s="72">
        <v>4</v>
      </c>
      <c r="B9" s="73" t="s">
        <v>79</v>
      </c>
      <c r="C9" s="73" t="s">
        <v>79</v>
      </c>
      <c r="D9" s="74" t="s">
        <v>25</v>
      </c>
      <c r="E9" s="74" t="s">
        <v>25</v>
      </c>
      <c r="F9" s="86" t="s">
        <v>34</v>
      </c>
      <c r="G9" s="89" t="s">
        <v>32</v>
      </c>
      <c r="H9" s="82" t="s">
        <v>21</v>
      </c>
      <c r="I9" s="82" t="s">
        <v>21</v>
      </c>
      <c r="J9" s="72" t="s">
        <v>21</v>
      </c>
      <c r="K9" s="72"/>
      <c r="L9" s="72"/>
      <c r="M9" s="72"/>
      <c r="N9" s="72"/>
      <c r="O9" s="76" t="s">
        <v>80</v>
      </c>
      <c r="P9" s="76"/>
    </row>
    <row r="10" spans="1:16" ht="18.95" customHeight="1">
      <c r="A10" s="133">
        <v>5</v>
      </c>
      <c r="B10" s="136" t="s">
        <v>81</v>
      </c>
      <c r="C10" s="99" t="s">
        <v>81</v>
      </c>
      <c r="D10" s="92" t="s">
        <v>31</v>
      </c>
      <c r="E10" s="74" t="s">
        <v>25</v>
      </c>
      <c r="F10" s="86" t="s">
        <v>34</v>
      </c>
      <c r="G10" s="89" t="s">
        <v>32</v>
      </c>
      <c r="H10" s="82" t="s">
        <v>21</v>
      </c>
      <c r="I10" s="82" t="s">
        <v>21</v>
      </c>
      <c r="J10" s="82" t="s">
        <v>21</v>
      </c>
      <c r="K10" s="72"/>
      <c r="L10" s="72"/>
      <c r="M10" s="72"/>
      <c r="N10" s="72"/>
      <c r="O10" s="77" t="s">
        <v>84</v>
      </c>
      <c r="P10" s="76"/>
    </row>
    <row r="11" spans="1:16" ht="18.95" customHeight="1">
      <c r="A11" s="135"/>
      <c r="B11" s="142"/>
      <c r="C11" s="99" t="s">
        <v>81</v>
      </c>
      <c r="D11" s="92" t="s">
        <v>31</v>
      </c>
      <c r="E11" s="74" t="s">
        <v>31</v>
      </c>
      <c r="F11" s="86" t="s">
        <v>34</v>
      </c>
      <c r="G11" s="89" t="s">
        <v>32</v>
      </c>
      <c r="H11" s="82" t="s">
        <v>21</v>
      </c>
      <c r="I11" s="82" t="s">
        <v>21</v>
      </c>
      <c r="J11" s="82" t="s">
        <v>21</v>
      </c>
      <c r="K11" s="72"/>
      <c r="L11" s="72"/>
      <c r="M11" s="72"/>
      <c r="N11" s="72"/>
      <c r="O11" s="77"/>
      <c r="P11" s="76"/>
    </row>
    <row r="12" spans="1:16" ht="18.95" customHeight="1">
      <c r="A12" s="134"/>
      <c r="B12" s="137"/>
      <c r="C12" s="99" t="s">
        <v>81</v>
      </c>
      <c r="D12" s="92" t="s">
        <v>31</v>
      </c>
      <c r="E12" s="74" t="s">
        <v>127</v>
      </c>
      <c r="F12" s="86" t="s">
        <v>34</v>
      </c>
      <c r="G12" s="89" t="s">
        <v>32</v>
      </c>
      <c r="H12" s="82" t="s">
        <v>21</v>
      </c>
      <c r="I12" s="72" t="s">
        <v>21</v>
      </c>
      <c r="J12" s="82" t="s">
        <v>22</v>
      </c>
      <c r="K12" s="72"/>
      <c r="L12" s="72"/>
      <c r="M12" s="72"/>
      <c r="N12" s="72"/>
      <c r="O12" s="77"/>
      <c r="P12" s="76"/>
    </row>
    <row r="13" spans="1:16" ht="18.95" customHeight="1">
      <c r="A13" s="133">
        <v>6</v>
      </c>
      <c r="B13" s="136" t="s">
        <v>85</v>
      </c>
      <c r="C13" s="99" t="s">
        <v>85</v>
      </c>
      <c r="D13" s="92" t="s">
        <v>136</v>
      </c>
      <c r="E13" s="74" t="s">
        <v>127</v>
      </c>
      <c r="F13" s="86" t="s">
        <v>34</v>
      </c>
      <c r="G13" s="94" t="s">
        <v>61</v>
      </c>
      <c r="H13" s="82" t="s">
        <v>21</v>
      </c>
      <c r="I13" s="82" t="s">
        <v>21</v>
      </c>
      <c r="J13" s="82" t="s">
        <v>21</v>
      </c>
      <c r="K13" s="72"/>
      <c r="L13" s="72"/>
      <c r="M13" s="72"/>
      <c r="N13" s="72"/>
      <c r="O13" s="77" t="s">
        <v>137</v>
      </c>
      <c r="P13" s="76"/>
    </row>
    <row r="14" spans="1:16" ht="18.95" customHeight="1">
      <c r="A14" s="134"/>
      <c r="B14" s="137"/>
      <c r="C14" s="99" t="s">
        <v>85</v>
      </c>
      <c r="D14" s="92" t="s">
        <v>136</v>
      </c>
      <c r="E14" s="74" t="s">
        <v>31</v>
      </c>
      <c r="F14" s="86" t="s">
        <v>34</v>
      </c>
      <c r="G14" s="94" t="s">
        <v>61</v>
      </c>
      <c r="H14" s="82" t="s">
        <v>21</v>
      </c>
      <c r="I14" s="82" t="s">
        <v>21</v>
      </c>
      <c r="J14" s="82" t="s">
        <v>21</v>
      </c>
      <c r="K14" s="72"/>
      <c r="L14" s="72"/>
      <c r="M14" s="72"/>
      <c r="N14" s="72"/>
      <c r="O14" s="77"/>
      <c r="P14" s="76"/>
    </row>
    <row r="15" spans="1:16" ht="18.95" customHeight="1">
      <c r="A15" s="72">
        <v>7</v>
      </c>
      <c r="B15" s="73" t="s">
        <v>88</v>
      </c>
      <c r="C15" s="73" t="s">
        <v>88</v>
      </c>
      <c r="D15" s="74" t="s">
        <v>33</v>
      </c>
      <c r="E15" s="74" t="s">
        <v>33</v>
      </c>
      <c r="F15" s="86" t="s">
        <v>34</v>
      </c>
      <c r="G15" s="89" t="s">
        <v>32</v>
      </c>
      <c r="H15" s="82" t="s">
        <v>21</v>
      </c>
      <c r="I15" s="72" t="s">
        <v>21</v>
      </c>
      <c r="J15" s="72" t="s">
        <v>22</v>
      </c>
      <c r="K15" s="72" t="s">
        <v>90</v>
      </c>
      <c r="L15" s="72" t="s">
        <v>90</v>
      </c>
      <c r="M15" s="72" t="s">
        <v>90</v>
      </c>
      <c r="N15" s="72" t="s">
        <v>90</v>
      </c>
      <c r="O15" s="76" t="s">
        <v>91</v>
      </c>
      <c r="P15" s="76"/>
    </row>
    <row r="16" spans="1:16" ht="18.95" customHeight="1">
      <c r="A16" s="72">
        <v>8</v>
      </c>
      <c r="B16" s="73" t="s">
        <v>92</v>
      </c>
      <c r="C16" s="73" t="s">
        <v>92</v>
      </c>
      <c r="D16" s="74" t="s">
        <v>33</v>
      </c>
      <c r="E16" s="74" t="s">
        <v>33</v>
      </c>
      <c r="F16" s="86" t="s">
        <v>34</v>
      </c>
      <c r="G16" s="89" t="s">
        <v>32</v>
      </c>
      <c r="H16" s="82" t="s">
        <v>21</v>
      </c>
      <c r="I16" s="72" t="s">
        <v>21</v>
      </c>
      <c r="J16" s="72" t="s">
        <v>21</v>
      </c>
      <c r="K16" s="72" t="s">
        <v>90</v>
      </c>
      <c r="L16" s="72" t="s">
        <v>90</v>
      </c>
      <c r="M16" s="72" t="s">
        <v>90</v>
      </c>
      <c r="N16" s="72" t="s">
        <v>90</v>
      </c>
      <c r="O16" s="76" t="s">
        <v>93</v>
      </c>
      <c r="P16" s="76"/>
    </row>
    <row r="17" spans="1:16" ht="98.45" customHeight="1">
      <c r="A17" s="72">
        <v>9</v>
      </c>
      <c r="B17" s="74" t="s">
        <v>94</v>
      </c>
      <c r="C17" s="74" t="s">
        <v>94</v>
      </c>
      <c r="D17" s="74" t="s">
        <v>33</v>
      </c>
      <c r="E17" s="74" t="s">
        <v>33</v>
      </c>
      <c r="F17" s="88" t="s">
        <v>34</v>
      </c>
      <c r="G17" s="89" t="s">
        <v>32</v>
      </c>
      <c r="H17" s="82" t="s">
        <v>21</v>
      </c>
      <c r="I17" s="72" t="s">
        <v>21</v>
      </c>
      <c r="J17" s="72" t="s">
        <v>21</v>
      </c>
      <c r="K17" s="72" t="s">
        <v>138</v>
      </c>
      <c r="L17" s="72" t="s">
        <v>90</v>
      </c>
      <c r="M17" s="72" t="s">
        <v>138</v>
      </c>
      <c r="N17" s="72" t="s">
        <v>90</v>
      </c>
      <c r="O17" s="77" t="s">
        <v>139</v>
      </c>
      <c r="P17" s="76"/>
    </row>
    <row r="18" spans="1:16" ht="18.95" customHeight="1">
      <c r="A18" s="72">
        <v>10</v>
      </c>
      <c r="B18" s="74" t="s">
        <v>95</v>
      </c>
      <c r="C18" s="74" t="s">
        <v>95</v>
      </c>
      <c r="D18" s="74" t="s">
        <v>25</v>
      </c>
      <c r="E18" s="74" t="s">
        <v>25</v>
      </c>
      <c r="F18" s="88" t="s">
        <v>34</v>
      </c>
      <c r="G18" s="89" t="s">
        <v>26</v>
      </c>
      <c r="H18" s="72" t="s">
        <v>21</v>
      </c>
      <c r="I18" s="72" t="s">
        <v>22</v>
      </c>
      <c r="J18" s="72" t="s">
        <v>22</v>
      </c>
      <c r="K18" s="72"/>
      <c r="L18" s="72"/>
      <c r="M18" s="72"/>
      <c r="N18" s="72"/>
      <c r="O18" s="76" t="s">
        <v>96</v>
      </c>
      <c r="P18" s="76"/>
    </row>
    <row r="19" spans="1:16" ht="18.95" customHeight="1">
      <c r="A19" s="72">
        <v>11</v>
      </c>
      <c r="B19" s="73" t="s">
        <v>97</v>
      </c>
      <c r="C19" s="73" t="s">
        <v>97</v>
      </c>
      <c r="D19" s="74" t="s">
        <v>33</v>
      </c>
      <c r="E19" s="78" t="s">
        <v>129</v>
      </c>
      <c r="F19" s="86" t="s">
        <v>34</v>
      </c>
      <c r="G19" s="89" t="s">
        <v>26</v>
      </c>
      <c r="H19" s="72" t="s">
        <v>21</v>
      </c>
      <c r="I19" s="72" t="s">
        <v>22</v>
      </c>
      <c r="J19" s="72" t="s">
        <v>22</v>
      </c>
      <c r="K19" s="72" t="s">
        <v>90</v>
      </c>
      <c r="L19" s="72" t="s">
        <v>90</v>
      </c>
      <c r="M19" s="72" t="s">
        <v>90</v>
      </c>
      <c r="N19" s="72" t="s">
        <v>90</v>
      </c>
      <c r="O19" s="76" t="s">
        <v>99</v>
      </c>
      <c r="P19" s="76"/>
    </row>
    <row r="20" spans="1:16" ht="18.95" customHeight="1">
      <c r="A20" s="72">
        <v>12</v>
      </c>
      <c r="B20" s="78" t="s">
        <v>100</v>
      </c>
      <c r="C20" s="78" t="s">
        <v>100</v>
      </c>
      <c r="D20" s="78" t="s">
        <v>35</v>
      </c>
      <c r="E20" s="78" t="s">
        <v>130</v>
      </c>
      <c r="F20" s="72" t="s">
        <v>34</v>
      </c>
      <c r="G20" s="72" t="s">
        <v>26</v>
      </c>
      <c r="H20" s="72" t="s">
        <v>22</v>
      </c>
      <c r="I20" s="72" t="s">
        <v>22</v>
      </c>
      <c r="J20" s="72" t="s">
        <v>22</v>
      </c>
      <c r="K20" s="72"/>
      <c r="L20" s="72"/>
      <c r="M20" s="72"/>
      <c r="N20" s="72"/>
      <c r="O20" s="76" t="s">
        <v>101</v>
      </c>
      <c r="P20" s="76"/>
    </row>
    <row r="21" spans="1:16" ht="18.95" customHeight="1">
      <c r="A21" s="133">
        <v>13</v>
      </c>
      <c r="B21" s="138" t="s">
        <v>102</v>
      </c>
      <c r="C21" s="93" t="s">
        <v>102</v>
      </c>
      <c r="D21" s="93" t="s">
        <v>35</v>
      </c>
      <c r="E21" s="78" t="s">
        <v>25</v>
      </c>
      <c r="F21" s="72" t="s">
        <v>34</v>
      </c>
      <c r="G21" s="72" t="s">
        <v>26</v>
      </c>
      <c r="H21" s="82" t="s">
        <v>21</v>
      </c>
      <c r="I21" s="72" t="s">
        <v>22</v>
      </c>
      <c r="J21" s="72" t="s">
        <v>22</v>
      </c>
      <c r="K21" s="72"/>
      <c r="L21" s="72"/>
      <c r="M21" s="72"/>
      <c r="N21" s="72"/>
      <c r="O21" s="77" t="s">
        <v>104</v>
      </c>
      <c r="P21" s="76"/>
    </row>
    <row r="22" spans="1:16" ht="18.95" customHeight="1">
      <c r="A22" s="135"/>
      <c r="B22" s="139"/>
      <c r="C22" s="93" t="s">
        <v>102</v>
      </c>
      <c r="D22" s="93" t="s">
        <v>35</v>
      </c>
      <c r="E22" s="78" t="s">
        <v>127</v>
      </c>
      <c r="F22" s="72" t="s">
        <v>34</v>
      </c>
      <c r="G22" s="72" t="s">
        <v>26</v>
      </c>
      <c r="H22" s="82" t="s">
        <v>21</v>
      </c>
      <c r="I22" s="82" t="s">
        <v>21</v>
      </c>
      <c r="J22" s="72" t="s">
        <v>21</v>
      </c>
      <c r="K22" s="72"/>
      <c r="L22" s="72"/>
      <c r="M22" s="72"/>
      <c r="N22" s="72"/>
      <c r="O22" s="77"/>
      <c r="P22" s="76"/>
    </row>
    <row r="23" spans="1:16" ht="18.95" customHeight="1">
      <c r="A23" s="135"/>
      <c r="B23" s="139"/>
      <c r="C23" s="93" t="s">
        <v>102</v>
      </c>
      <c r="D23" s="93" t="s">
        <v>35</v>
      </c>
      <c r="E23" s="78" t="s">
        <v>35</v>
      </c>
      <c r="F23" s="72" t="s">
        <v>34</v>
      </c>
      <c r="G23" s="72" t="s">
        <v>26</v>
      </c>
      <c r="H23" s="82" t="s">
        <v>21</v>
      </c>
      <c r="I23" s="72" t="s">
        <v>22</v>
      </c>
      <c r="J23" s="72" t="s">
        <v>22</v>
      </c>
      <c r="K23" s="72"/>
      <c r="L23" s="72"/>
      <c r="M23" s="72"/>
      <c r="N23" s="72"/>
      <c r="O23" s="77"/>
      <c r="P23" s="76"/>
    </row>
    <row r="24" spans="1:16" ht="18.95" customHeight="1">
      <c r="A24" s="134"/>
      <c r="B24" s="140"/>
      <c r="C24" s="93" t="s">
        <v>102</v>
      </c>
      <c r="D24" s="93" t="s">
        <v>35</v>
      </c>
      <c r="E24" s="78" t="s">
        <v>33</v>
      </c>
      <c r="F24" s="72" t="s">
        <v>34</v>
      </c>
      <c r="G24" s="72" t="s">
        <v>26</v>
      </c>
      <c r="H24" s="82" t="s">
        <v>21</v>
      </c>
      <c r="I24" s="72" t="s">
        <v>22</v>
      </c>
      <c r="J24" s="72" t="s">
        <v>22</v>
      </c>
      <c r="K24" s="72"/>
      <c r="L24" s="72"/>
      <c r="M24" s="72"/>
      <c r="N24" s="72"/>
      <c r="O24" s="77"/>
      <c r="P24" s="76"/>
    </row>
    <row r="25" spans="1:16" ht="18.95" customHeight="1">
      <c r="A25" s="72">
        <v>14</v>
      </c>
      <c r="B25" s="73" t="s">
        <v>105</v>
      </c>
      <c r="C25" s="73" t="s">
        <v>105</v>
      </c>
      <c r="D25" s="74" t="s">
        <v>36</v>
      </c>
      <c r="E25" s="78" t="s">
        <v>129</v>
      </c>
      <c r="F25" s="86" t="s">
        <v>38</v>
      </c>
      <c r="G25" s="89" t="s">
        <v>32</v>
      </c>
      <c r="H25" s="72" t="s">
        <v>21</v>
      </c>
      <c r="I25" s="72" t="s">
        <v>22</v>
      </c>
      <c r="J25" s="72" t="s">
        <v>22</v>
      </c>
      <c r="K25" s="72"/>
      <c r="L25" s="72"/>
      <c r="M25" s="72"/>
      <c r="N25" s="72"/>
      <c r="O25" s="76" t="s">
        <v>106</v>
      </c>
      <c r="P25" s="76"/>
    </row>
    <row r="26" spans="1:16" ht="18.95" customHeight="1">
      <c r="A26" s="72">
        <v>15</v>
      </c>
      <c r="B26" s="73" t="s">
        <v>107</v>
      </c>
      <c r="C26" s="73" t="s">
        <v>107</v>
      </c>
      <c r="D26" s="74" t="s">
        <v>36</v>
      </c>
      <c r="E26" s="78" t="s">
        <v>130</v>
      </c>
      <c r="F26" s="86" t="s">
        <v>38</v>
      </c>
      <c r="G26" s="89" t="s">
        <v>32</v>
      </c>
      <c r="H26" s="72" t="s">
        <v>22</v>
      </c>
      <c r="I26" s="72" t="s">
        <v>22</v>
      </c>
      <c r="J26" s="72" t="s">
        <v>22</v>
      </c>
      <c r="K26" s="72"/>
      <c r="L26" s="72"/>
      <c r="M26" s="72"/>
      <c r="N26" s="72"/>
      <c r="O26" s="76"/>
      <c r="P26" s="76"/>
    </row>
    <row r="27" spans="1:16" ht="18.95" customHeight="1">
      <c r="A27" s="72">
        <v>16</v>
      </c>
      <c r="B27" s="73" t="s">
        <v>108</v>
      </c>
      <c r="C27" s="73" t="s">
        <v>108</v>
      </c>
      <c r="D27" s="74" t="s">
        <v>36</v>
      </c>
      <c r="E27" s="78" t="s">
        <v>130</v>
      </c>
      <c r="F27" s="86" t="s">
        <v>38</v>
      </c>
      <c r="G27" s="89" t="s">
        <v>26</v>
      </c>
      <c r="H27" s="72" t="s">
        <v>22</v>
      </c>
      <c r="I27" s="72" t="s">
        <v>22</v>
      </c>
      <c r="J27" s="72" t="s">
        <v>22</v>
      </c>
      <c r="K27" s="72"/>
      <c r="L27" s="72"/>
      <c r="M27" s="72"/>
      <c r="N27" s="72"/>
      <c r="O27" s="76" t="s">
        <v>101</v>
      </c>
      <c r="P27" s="76"/>
    </row>
    <row r="28" spans="1:16" ht="18.95" customHeight="1">
      <c r="A28" s="72">
        <v>17</v>
      </c>
      <c r="B28" s="78" t="s">
        <v>109</v>
      </c>
      <c r="C28" s="78" t="s">
        <v>109</v>
      </c>
      <c r="D28" s="78" t="s">
        <v>33</v>
      </c>
      <c r="E28" s="78" t="s">
        <v>129</v>
      </c>
      <c r="F28" s="72" t="s">
        <v>34</v>
      </c>
      <c r="G28" s="72" t="s">
        <v>26</v>
      </c>
      <c r="H28" s="72" t="s">
        <v>21</v>
      </c>
      <c r="I28" s="72" t="s">
        <v>22</v>
      </c>
      <c r="J28" s="72" t="s">
        <v>22</v>
      </c>
      <c r="K28" s="72" t="s">
        <v>90</v>
      </c>
      <c r="L28" s="72" t="s">
        <v>90</v>
      </c>
      <c r="M28" s="72" t="s">
        <v>90</v>
      </c>
      <c r="N28" s="72" t="s">
        <v>90</v>
      </c>
      <c r="O28" s="76" t="s">
        <v>99</v>
      </c>
      <c r="P28" s="76"/>
    </row>
    <row r="29" spans="1:16" ht="18.95" customHeight="1">
      <c r="A29" s="72">
        <v>18</v>
      </c>
      <c r="B29" s="78" t="s">
        <v>110</v>
      </c>
      <c r="C29" s="78" t="s">
        <v>110</v>
      </c>
      <c r="D29" s="78" t="s">
        <v>25</v>
      </c>
      <c r="E29" s="78" t="s">
        <v>25</v>
      </c>
      <c r="F29" s="72" t="s">
        <v>34</v>
      </c>
      <c r="G29" s="72" t="s">
        <v>26</v>
      </c>
      <c r="H29" s="72" t="s">
        <v>21</v>
      </c>
      <c r="I29" s="72" t="s">
        <v>22</v>
      </c>
      <c r="J29" s="72" t="s">
        <v>22</v>
      </c>
      <c r="K29" s="72"/>
      <c r="L29" s="72"/>
      <c r="M29" s="72"/>
      <c r="N29" s="72"/>
      <c r="O29" s="76" t="s">
        <v>96</v>
      </c>
      <c r="P29" s="76"/>
    </row>
    <row r="30" spans="1:16" ht="18.95" customHeight="1">
      <c r="A30" s="72">
        <v>19</v>
      </c>
      <c r="B30" s="74" t="s">
        <v>111</v>
      </c>
      <c r="C30" s="74" t="s">
        <v>111</v>
      </c>
      <c r="D30" s="78" t="s">
        <v>33</v>
      </c>
      <c r="E30" s="78" t="s">
        <v>129</v>
      </c>
      <c r="F30" s="72" t="s">
        <v>34</v>
      </c>
      <c r="G30" s="72" t="s">
        <v>26</v>
      </c>
      <c r="H30" s="72" t="s">
        <v>21</v>
      </c>
      <c r="I30" s="72" t="s">
        <v>22</v>
      </c>
      <c r="J30" s="72" t="s">
        <v>22</v>
      </c>
      <c r="K30" s="72" t="s">
        <v>90</v>
      </c>
      <c r="L30" s="72" t="s">
        <v>90</v>
      </c>
      <c r="M30" s="72" t="s">
        <v>90</v>
      </c>
      <c r="N30" s="72" t="s">
        <v>90</v>
      </c>
      <c r="O30" s="76" t="s">
        <v>99</v>
      </c>
      <c r="P30" s="76"/>
    </row>
    <row r="31" spans="1:16" ht="18.95" customHeight="1">
      <c r="A31" s="72">
        <v>20</v>
      </c>
      <c r="B31" s="78" t="s">
        <v>112</v>
      </c>
      <c r="C31" s="78" t="s">
        <v>112</v>
      </c>
      <c r="D31" s="78" t="s">
        <v>31</v>
      </c>
      <c r="E31" s="78" t="s">
        <v>130</v>
      </c>
      <c r="F31" s="72" t="s">
        <v>28</v>
      </c>
      <c r="G31" s="72" t="s">
        <v>26</v>
      </c>
      <c r="H31" s="72" t="s">
        <v>22</v>
      </c>
      <c r="I31" s="72" t="s">
        <v>22</v>
      </c>
      <c r="J31" s="72" t="s">
        <v>22</v>
      </c>
      <c r="K31" s="72"/>
      <c r="L31" s="72"/>
      <c r="M31" s="72"/>
      <c r="N31" s="81"/>
      <c r="O31" s="79" t="s">
        <v>101</v>
      </c>
      <c r="P31" s="76"/>
    </row>
    <row r="32" spans="1:16" ht="18.95" customHeight="1">
      <c r="A32" s="72">
        <v>21</v>
      </c>
      <c r="B32" s="78" t="s">
        <v>113</v>
      </c>
      <c r="C32" s="78" t="s">
        <v>113</v>
      </c>
      <c r="D32" s="78" t="s">
        <v>31</v>
      </c>
      <c r="E32" s="78" t="s">
        <v>129</v>
      </c>
      <c r="F32" s="72" t="s">
        <v>34</v>
      </c>
      <c r="G32" s="72" t="s">
        <v>32</v>
      </c>
      <c r="H32" s="72" t="s">
        <v>21</v>
      </c>
      <c r="I32" s="72" t="s">
        <v>22</v>
      </c>
      <c r="J32" s="72" t="s">
        <v>22</v>
      </c>
      <c r="K32" s="72"/>
      <c r="L32" s="72"/>
      <c r="M32" s="72"/>
      <c r="N32" s="81"/>
      <c r="O32" s="79" t="s">
        <v>99</v>
      </c>
      <c r="P32" s="76"/>
    </row>
    <row r="33" spans="1:16" ht="18.95" customHeight="1">
      <c r="A33" s="72">
        <v>22</v>
      </c>
      <c r="B33" s="78" t="s">
        <v>114</v>
      </c>
      <c r="C33" s="78" t="s">
        <v>114</v>
      </c>
      <c r="D33" s="78" t="s">
        <v>25</v>
      </c>
      <c r="E33" s="78" t="s">
        <v>130</v>
      </c>
      <c r="F33" s="72" t="s">
        <v>28</v>
      </c>
      <c r="G33" s="72" t="s">
        <v>26</v>
      </c>
      <c r="H33" s="72" t="s">
        <v>22</v>
      </c>
      <c r="I33" s="72" t="s">
        <v>22</v>
      </c>
      <c r="J33" s="72" t="s">
        <v>22</v>
      </c>
      <c r="K33" s="72"/>
      <c r="L33" s="72"/>
      <c r="M33" s="72"/>
      <c r="N33" s="81"/>
      <c r="O33" s="79" t="s">
        <v>101</v>
      </c>
      <c r="P33" s="76"/>
    </row>
    <row r="34" spans="1:16" ht="18.95" customHeight="1">
      <c r="A34" s="72">
        <v>23</v>
      </c>
      <c r="B34" s="78" t="s">
        <v>115</v>
      </c>
      <c r="C34" s="78" t="s">
        <v>115</v>
      </c>
      <c r="D34" s="78" t="s">
        <v>25</v>
      </c>
      <c r="E34" s="78" t="s">
        <v>130</v>
      </c>
      <c r="F34" s="72" t="s">
        <v>28</v>
      </c>
      <c r="G34" s="72" t="s">
        <v>26</v>
      </c>
      <c r="H34" s="72" t="s">
        <v>22</v>
      </c>
      <c r="I34" s="72" t="s">
        <v>22</v>
      </c>
      <c r="J34" s="72" t="s">
        <v>22</v>
      </c>
      <c r="K34" s="72"/>
      <c r="L34" s="72"/>
      <c r="M34" s="72"/>
      <c r="N34" s="81"/>
      <c r="O34" s="79" t="s">
        <v>101</v>
      </c>
      <c r="P34" s="76"/>
    </row>
    <row r="35" spans="1:16" ht="18.95" customHeight="1">
      <c r="A35" s="133">
        <v>24</v>
      </c>
      <c r="B35" s="138" t="s">
        <v>116</v>
      </c>
      <c r="C35" s="93" t="s">
        <v>116</v>
      </c>
      <c r="D35" s="93" t="s">
        <v>37</v>
      </c>
      <c r="E35" s="78" t="s">
        <v>127</v>
      </c>
      <c r="F35" s="81" t="s">
        <v>34</v>
      </c>
      <c r="G35" s="81" t="s">
        <v>32</v>
      </c>
      <c r="H35" s="72" t="s">
        <v>21</v>
      </c>
      <c r="I35" s="72" t="s">
        <v>21</v>
      </c>
      <c r="J35" s="72" t="s">
        <v>21</v>
      </c>
      <c r="K35" s="72"/>
      <c r="L35" s="72"/>
      <c r="M35" s="72"/>
      <c r="N35" s="81"/>
      <c r="O35" s="83" t="s">
        <v>117</v>
      </c>
      <c r="P35" s="76"/>
    </row>
    <row r="36" spans="1:16" ht="18.95" customHeight="1">
      <c r="A36" s="134"/>
      <c r="B36" s="140"/>
      <c r="C36" s="93" t="s">
        <v>116</v>
      </c>
      <c r="D36" s="93" t="s">
        <v>37</v>
      </c>
      <c r="E36" s="78" t="s">
        <v>129</v>
      </c>
      <c r="F36" s="81" t="s">
        <v>34</v>
      </c>
      <c r="G36" s="81" t="s">
        <v>32</v>
      </c>
      <c r="H36" s="72" t="s">
        <v>21</v>
      </c>
      <c r="I36" s="72" t="s">
        <v>22</v>
      </c>
      <c r="J36" s="72" t="s">
        <v>22</v>
      </c>
      <c r="K36" s="72"/>
      <c r="L36" s="72"/>
      <c r="M36" s="72"/>
      <c r="N36" s="81"/>
      <c r="O36" s="83"/>
      <c r="P36" s="76"/>
    </row>
    <row r="37" spans="1:16" ht="18.95" customHeight="1">
      <c r="A37" s="72">
        <v>25</v>
      </c>
      <c r="B37" s="78" t="s">
        <v>118</v>
      </c>
      <c r="C37" s="78" t="s">
        <v>118</v>
      </c>
      <c r="D37" s="78" t="s">
        <v>33</v>
      </c>
      <c r="E37" s="78" t="s">
        <v>130</v>
      </c>
      <c r="F37" s="72" t="s">
        <v>34</v>
      </c>
      <c r="G37" s="72" t="s">
        <v>26</v>
      </c>
      <c r="H37" s="72" t="s">
        <v>22</v>
      </c>
      <c r="I37" s="72" t="s">
        <v>22</v>
      </c>
      <c r="J37" s="72" t="s">
        <v>22</v>
      </c>
      <c r="K37" s="72" t="s">
        <v>90</v>
      </c>
      <c r="L37" s="72" t="s">
        <v>90</v>
      </c>
      <c r="M37" s="72" t="s">
        <v>90</v>
      </c>
      <c r="N37" s="72" t="s">
        <v>90</v>
      </c>
      <c r="O37" s="79"/>
      <c r="P37" s="76"/>
    </row>
    <row r="38" spans="1:16" ht="18.95" customHeight="1">
      <c r="A38" s="133">
        <v>26</v>
      </c>
      <c r="B38" s="138" t="s">
        <v>119</v>
      </c>
      <c r="C38" s="93" t="s">
        <v>119</v>
      </c>
      <c r="D38" s="93" t="s">
        <v>33</v>
      </c>
      <c r="E38" s="78" t="s">
        <v>25</v>
      </c>
      <c r="F38" s="81" t="s">
        <v>34</v>
      </c>
      <c r="G38" s="72" t="s">
        <v>26</v>
      </c>
      <c r="H38" s="82" t="s">
        <v>21</v>
      </c>
      <c r="I38" s="82" t="s">
        <v>21</v>
      </c>
      <c r="J38" s="72" t="s">
        <v>22</v>
      </c>
      <c r="K38" s="72"/>
      <c r="L38" s="72"/>
      <c r="M38" s="72"/>
      <c r="N38" s="72"/>
      <c r="O38" s="80" t="s">
        <v>121</v>
      </c>
      <c r="P38" s="76"/>
    </row>
    <row r="39" spans="1:16" ht="18.95" customHeight="1">
      <c r="A39" s="135"/>
      <c r="B39" s="139"/>
      <c r="C39" s="93" t="s">
        <v>119</v>
      </c>
      <c r="D39" s="93" t="s">
        <v>33</v>
      </c>
      <c r="E39" s="78" t="s">
        <v>127</v>
      </c>
      <c r="F39" s="81" t="s">
        <v>34</v>
      </c>
      <c r="G39" s="72" t="s">
        <v>26</v>
      </c>
      <c r="H39" s="82" t="s">
        <v>21</v>
      </c>
      <c r="I39" s="82" t="s">
        <v>21</v>
      </c>
      <c r="J39" s="72" t="s">
        <v>21</v>
      </c>
      <c r="K39" s="72"/>
      <c r="L39" s="72"/>
      <c r="M39" s="72"/>
      <c r="N39" s="72"/>
      <c r="O39" s="80"/>
      <c r="P39" s="76"/>
    </row>
    <row r="40" spans="1:16" ht="18.95" customHeight="1">
      <c r="A40" s="134"/>
      <c r="B40" s="140"/>
      <c r="C40" s="93" t="s">
        <v>119</v>
      </c>
      <c r="D40" s="93" t="s">
        <v>33</v>
      </c>
      <c r="E40" s="78" t="s">
        <v>33</v>
      </c>
      <c r="F40" s="81" t="s">
        <v>34</v>
      </c>
      <c r="G40" s="72" t="s">
        <v>26</v>
      </c>
      <c r="H40" s="82" t="s">
        <v>21</v>
      </c>
      <c r="I40" s="82" t="s">
        <v>21</v>
      </c>
      <c r="J40" s="72" t="s">
        <v>22</v>
      </c>
      <c r="K40" s="72" t="s">
        <v>90</v>
      </c>
      <c r="L40" s="72" t="s">
        <v>90</v>
      </c>
      <c r="M40" s="72" t="s">
        <v>90</v>
      </c>
      <c r="N40" s="72" t="s">
        <v>90</v>
      </c>
      <c r="O40" s="80"/>
      <c r="P40" s="76"/>
    </row>
    <row r="41" spans="1:16" ht="18.95" customHeight="1">
      <c r="A41" s="72">
        <v>27</v>
      </c>
      <c r="B41" s="78" t="s">
        <v>122</v>
      </c>
      <c r="C41" s="78" t="s">
        <v>122</v>
      </c>
      <c r="D41" s="78" t="s">
        <v>25</v>
      </c>
      <c r="E41" s="78" t="s">
        <v>127</v>
      </c>
      <c r="F41" s="72" t="s">
        <v>34</v>
      </c>
      <c r="G41" s="72" t="s">
        <v>32</v>
      </c>
      <c r="H41" s="72" t="s">
        <v>21</v>
      </c>
      <c r="I41" s="72" t="s">
        <v>21</v>
      </c>
      <c r="J41" s="72" t="s">
        <v>22</v>
      </c>
      <c r="K41" s="72"/>
      <c r="L41" s="72"/>
      <c r="M41" s="72"/>
      <c r="N41" s="72"/>
      <c r="O41" s="76" t="s">
        <v>123</v>
      </c>
      <c r="P41" s="76"/>
    </row>
  </sheetData>
  <autoFilter ref="A1:P41" xr:uid="{07020860-9CC7-4621-BA08-823452FCEDA3}">
    <filterColumn colId="10" showButton="0"/>
    <filterColumn colId="11" showButton="0"/>
    <filterColumn colId="12" showButton="0"/>
  </autoFilter>
  <mergeCells count="15">
    <mergeCell ref="A7:A8"/>
    <mergeCell ref="A10:A12"/>
    <mergeCell ref="K1:N1"/>
    <mergeCell ref="A3:A5"/>
    <mergeCell ref="B3:B5"/>
    <mergeCell ref="B7:B8"/>
    <mergeCell ref="B10:B12"/>
    <mergeCell ref="A35:A36"/>
    <mergeCell ref="A38:A40"/>
    <mergeCell ref="A13:A14"/>
    <mergeCell ref="A21:A24"/>
    <mergeCell ref="B13:B14"/>
    <mergeCell ref="B21:B24"/>
    <mergeCell ref="B35:B36"/>
    <mergeCell ref="B38:B40"/>
  </mergeCells>
  <dataValidations count="3">
    <dataValidation type="list" allowBlank="1" showErrorMessage="1" sqref="E38:E41 E3:E18 E21:E24 E29 E35 D3:D41" xr:uid="{DAAD9E05-B7DA-4FE9-A175-99B3066C2157}">
      <formula1>"BillingCenter,ClaimCenter,Conversion,Data,Datahub,DHIC,Digital,Integration,Migration,PolicyCenter,Portal,Print,Testing,Transition,Others"</formula1>
    </dataValidation>
    <dataValidation type="list" allowBlank="1" showErrorMessage="1" sqref="F3:F41" xr:uid="{E0CA8DB1-F3DF-48BC-ACBE-0DC9CDDC1EAE}">
      <formula1>"Dev,BA,QA"</formula1>
    </dataValidation>
    <dataValidation type="list" allowBlank="1" showErrorMessage="1" sqref="G3:G41" xr:uid="{6E890214-D389-439C-B28B-7992B75DA426}">
      <formula1>"Lead,Associate,Specialist"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A001-2C29-4C33-9000-94BE6BDABD82}">
  <dimension ref="A1:P41"/>
  <sheetViews>
    <sheetView zoomScale="80" zoomScaleNormal="80" workbookViewId="0">
      <selection activeCell="G10" sqref="G10:G12"/>
    </sheetView>
  </sheetViews>
  <sheetFormatPr defaultColWidth="8.5703125" defaultRowHeight="12.95"/>
  <cols>
    <col min="1" max="1" width="4.85546875" style="48" bestFit="1" customWidth="1"/>
    <col min="2" max="2" width="24.5703125" style="48" bestFit="1" customWidth="1"/>
    <col min="3" max="3" width="12.5703125" style="48" customWidth="1"/>
    <col min="4" max="4" width="17.85546875" style="48" customWidth="1"/>
    <col min="5" max="5" width="8.5703125" style="48"/>
    <col min="6" max="7" width="10.42578125" style="48" customWidth="1"/>
    <col min="8" max="8" width="14.5703125" style="48" customWidth="1"/>
    <col min="9" max="9" width="15.140625" style="48" customWidth="1"/>
    <col min="10" max="10" width="16.42578125" style="48" customWidth="1"/>
    <col min="11" max="13" width="12.5703125" style="48" bestFit="1" customWidth="1"/>
    <col min="14" max="14" width="12.5703125" style="48" customWidth="1"/>
    <col min="15" max="15" width="42.42578125" style="48" customWidth="1"/>
    <col min="16" max="16" width="10.5703125" style="48" bestFit="1" customWidth="1"/>
    <col min="17" max="16384" width="8.5703125" style="48"/>
  </cols>
  <sheetData>
    <row r="1" spans="1:16" ht="18.95" customHeight="1">
      <c r="K1" s="141" t="s">
        <v>57</v>
      </c>
      <c r="L1" s="141"/>
      <c r="M1" s="141"/>
      <c r="N1" s="141"/>
    </row>
    <row r="2" spans="1:16" ht="18.95" customHeight="1">
      <c r="A2" s="90" t="s">
        <v>58</v>
      </c>
      <c r="B2" s="71" t="s">
        <v>59</v>
      </c>
      <c r="C2" s="71" t="s">
        <v>18</v>
      </c>
      <c r="D2" s="71" t="s">
        <v>39</v>
      </c>
      <c r="E2" s="71" t="s">
        <v>19</v>
      </c>
      <c r="F2" s="71" t="s">
        <v>20</v>
      </c>
      <c r="G2" s="71" t="s">
        <v>15</v>
      </c>
      <c r="H2" s="71" t="s">
        <v>26</v>
      </c>
      <c r="I2" s="71" t="s">
        <v>61</v>
      </c>
      <c r="J2" s="71" t="s">
        <v>124</v>
      </c>
      <c r="K2" s="71" t="s">
        <v>64</v>
      </c>
      <c r="L2" s="71" t="s">
        <v>65</v>
      </c>
      <c r="M2" s="71" t="s">
        <v>66</v>
      </c>
      <c r="N2" s="71" t="s">
        <v>67</v>
      </c>
      <c r="O2" s="71" t="s">
        <v>68</v>
      </c>
      <c r="P2" s="71" t="s">
        <v>69</v>
      </c>
    </row>
    <row r="3" spans="1:16" ht="18.95" customHeight="1">
      <c r="A3" s="133">
        <v>1</v>
      </c>
      <c r="B3" s="136" t="s">
        <v>70</v>
      </c>
      <c r="C3" s="172" t="s">
        <v>31</v>
      </c>
      <c r="D3" s="74" t="s">
        <v>25</v>
      </c>
      <c r="E3" s="175" t="s">
        <v>28</v>
      </c>
      <c r="F3" s="169" t="s">
        <v>32</v>
      </c>
      <c r="G3" s="169" t="s">
        <v>21</v>
      </c>
      <c r="H3" s="82"/>
      <c r="I3" s="72"/>
      <c r="J3" s="82" t="s">
        <v>21</v>
      </c>
      <c r="K3" s="72"/>
      <c r="L3" s="72"/>
      <c r="M3" s="72"/>
      <c r="N3" s="72"/>
      <c r="O3" s="91" t="s">
        <v>125</v>
      </c>
      <c r="P3" s="76"/>
    </row>
    <row r="4" spans="1:16" ht="18.95" customHeight="1">
      <c r="A4" s="135"/>
      <c r="B4" s="142"/>
      <c r="C4" s="173"/>
      <c r="D4" s="74" t="s">
        <v>31</v>
      </c>
      <c r="E4" s="177"/>
      <c r="F4" s="170"/>
      <c r="G4" s="170"/>
      <c r="H4" s="82"/>
      <c r="I4" s="72"/>
      <c r="J4" s="82" t="s">
        <v>21</v>
      </c>
      <c r="K4" s="72"/>
      <c r="L4" s="72"/>
      <c r="M4" s="72"/>
      <c r="N4" s="72"/>
      <c r="O4" s="91" t="s">
        <v>126</v>
      </c>
      <c r="P4" s="76"/>
    </row>
    <row r="5" spans="1:16" ht="18.95" customHeight="1">
      <c r="A5" s="134"/>
      <c r="B5" s="137"/>
      <c r="C5" s="174"/>
      <c r="D5" s="74" t="s">
        <v>127</v>
      </c>
      <c r="E5" s="176"/>
      <c r="F5" s="171"/>
      <c r="G5" s="171"/>
      <c r="H5" s="82"/>
      <c r="I5" s="72"/>
      <c r="J5" s="82" t="s">
        <v>21</v>
      </c>
      <c r="K5" s="72"/>
      <c r="L5" s="72"/>
      <c r="M5" s="72"/>
      <c r="N5" s="72"/>
      <c r="O5" s="91" t="s">
        <v>128</v>
      </c>
      <c r="P5" s="76"/>
    </row>
    <row r="6" spans="1:16" ht="18.95" customHeight="1">
      <c r="A6" s="72">
        <v>2</v>
      </c>
      <c r="B6" s="73" t="s">
        <v>73</v>
      </c>
      <c r="C6" s="74" t="s">
        <v>25</v>
      </c>
      <c r="D6" s="74" t="s">
        <v>25</v>
      </c>
      <c r="E6" s="86" t="s">
        <v>28</v>
      </c>
      <c r="F6" s="89" t="s">
        <v>32</v>
      </c>
      <c r="G6" s="82" t="s">
        <v>21</v>
      </c>
      <c r="H6" s="82"/>
      <c r="I6" s="72"/>
      <c r="J6" s="82" t="s">
        <v>21</v>
      </c>
      <c r="K6" s="72"/>
      <c r="L6" s="72"/>
      <c r="M6" s="72"/>
      <c r="N6" s="72"/>
      <c r="O6" s="78" t="s">
        <v>75</v>
      </c>
      <c r="P6" s="76"/>
    </row>
    <row r="7" spans="1:16" ht="18.95" customHeight="1">
      <c r="A7" s="133">
        <v>3</v>
      </c>
      <c r="B7" s="138" t="s">
        <v>76</v>
      </c>
      <c r="C7" s="138" t="s">
        <v>25</v>
      </c>
      <c r="D7" s="78" t="s">
        <v>25</v>
      </c>
      <c r="E7" s="175" t="s">
        <v>28</v>
      </c>
      <c r="F7" s="133" t="s">
        <v>26</v>
      </c>
      <c r="G7" s="133" t="s">
        <v>21</v>
      </c>
      <c r="H7" s="82"/>
      <c r="I7" s="72"/>
      <c r="J7" s="82" t="s">
        <v>21</v>
      </c>
      <c r="K7" s="72"/>
      <c r="L7" s="72"/>
      <c r="M7" s="72"/>
      <c r="N7" s="72"/>
      <c r="O7" s="91" t="s">
        <v>125</v>
      </c>
      <c r="P7" s="76"/>
    </row>
    <row r="8" spans="1:16" ht="18.95" customHeight="1">
      <c r="A8" s="134"/>
      <c r="B8" s="140"/>
      <c r="C8" s="140"/>
      <c r="D8" s="78" t="s">
        <v>127</v>
      </c>
      <c r="E8" s="176"/>
      <c r="F8" s="134"/>
      <c r="G8" s="134"/>
      <c r="H8" s="82"/>
      <c r="I8" s="72"/>
      <c r="J8" s="82" t="s">
        <v>21</v>
      </c>
      <c r="K8" s="72"/>
      <c r="L8" s="72"/>
      <c r="M8" s="72"/>
      <c r="N8" s="72"/>
      <c r="O8" s="91" t="s">
        <v>128</v>
      </c>
      <c r="P8" s="76"/>
    </row>
    <row r="9" spans="1:16" ht="18.95" customHeight="1">
      <c r="A9" s="72">
        <v>4</v>
      </c>
      <c r="B9" s="73" t="s">
        <v>79</v>
      </c>
      <c r="C9" s="74" t="s">
        <v>25</v>
      </c>
      <c r="D9" s="74" t="s">
        <v>25</v>
      </c>
      <c r="E9" s="86" t="s">
        <v>34</v>
      </c>
      <c r="F9" s="89" t="s">
        <v>32</v>
      </c>
      <c r="G9" s="82" t="s">
        <v>21</v>
      </c>
      <c r="H9" s="82"/>
      <c r="I9" s="72"/>
      <c r="J9" s="82" t="s">
        <v>21</v>
      </c>
      <c r="K9" s="72"/>
      <c r="L9" s="72"/>
      <c r="M9" s="72"/>
      <c r="N9" s="72"/>
      <c r="O9" s="76" t="s">
        <v>80</v>
      </c>
      <c r="P9" s="76"/>
    </row>
    <row r="10" spans="1:16" ht="18.95" customHeight="1">
      <c r="A10" s="133">
        <v>5</v>
      </c>
      <c r="B10" s="136" t="s">
        <v>81</v>
      </c>
      <c r="C10" s="172" t="s">
        <v>31</v>
      </c>
      <c r="D10" s="74" t="s">
        <v>25</v>
      </c>
      <c r="E10" s="175" t="s">
        <v>34</v>
      </c>
      <c r="F10" s="169" t="s">
        <v>32</v>
      </c>
      <c r="G10" s="169" t="s">
        <v>21</v>
      </c>
      <c r="H10" s="82"/>
      <c r="I10" s="72"/>
      <c r="J10" s="82" t="s">
        <v>21</v>
      </c>
      <c r="K10" s="72"/>
      <c r="L10" s="72"/>
      <c r="M10" s="72"/>
      <c r="N10" s="72"/>
      <c r="O10" s="77" t="s">
        <v>84</v>
      </c>
      <c r="P10" s="76"/>
    </row>
    <row r="11" spans="1:16" ht="18.95" customHeight="1">
      <c r="A11" s="135"/>
      <c r="B11" s="142"/>
      <c r="C11" s="173"/>
      <c r="D11" s="74" t="s">
        <v>31</v>
      </c>
      <c r="E11" s="177"/>
      <c r="F11" s="170"/>
      <c r="G11" s="170"/>
      <c r="H11" s="82"/>
      <c r="I11" s="72"/>
      <c r="J11" s="82" t="s">
        <v>21</v>
      </c>
      <c r="K11" s="72"/>
      <c r="L11" s="72"/>
      <c r="M11" s="72"/>
      <c r="N11" s="72"/>
      <c r="O11" s="77"/>
      <c r="P11" s="76"/>
    </row>
    <row r="12" spans="1:16" ht="18.95" customHeight="1">
      <c r="A12" s="134"/>
      <c r="B12" s="137"/>
      <c r="C12" s="174"/>
      <c r="D12" s="74" t="s">
        <v>127</v>
      </c>
      <c r="E12" s="176"/>
      <c r="F12" s="171"/>
      <c r="G12" s="171"/>
      <c r="H12" s="82"/>
      <c r="I12" s="72" t="s">
        <v>21</v>
      </c>
      <c r="J12" s="82"/>
      <c r="K12" s="72"/>
      <c r="L12" s="72"/>
      <c r="M12" s="72"/>
      <c r="N12" s="72"/>
      <c r="O12" s="77"/>
      <c r="P12" s="76"/>
    </row>
    <row r="13" spans="1:16" ht="18.95" customHeight="1">
      <c r="A13" s="133">
        <v>6</v>
      </c>
      <c r="B13" s="136" t="s">
        <v>85</v>
      </c>
      <c r="C13" s="172" t="s">
        <v>136</v>
      </c>
      <c r="D13" s="74" t="s">
        <v>25</v>
      </c>
      <c r="E13" s="175" t="s">
        <v>34</v>
      </c>
      <c r="F13" s="169" t="s">
        <v>61</v>
      </c>
      <c r="G13" s="133" t="s">
        <v>21</v>
      </c>
      <c r="H13" s="82"/>
      <c r="I13" s="72"/>
      <c r="J13" s="82" t="s">
        <v>21</v>
      </c>
      <c r="K13" s="72"/>
      <c r="L13" s="72"/>
      <c r="M13" s="72"/>
      <c r="N13" s="72"/>
      <c r="O13" s="77" t="s">
        <v>87</v>
      </c>
      <c r="P13" s="76"/>
    </row>
    <row r="14" spans="1:16" ht="18.95" customHeight="1">
      <c r="A14" s="134"/>
      <c r="B14" s="137"/>
      <c r="C14" s="174"/>
      <c r="D14" s="74" t="s">
        <v>31</v>
      </c>
      <c r="E14" s="176"/>
      <c r="F14" s="171"/>
      <c r="G14" s="134"/>
      <c r="H14" s="82"/>
      <c r="I14" s="72"/>
      <c r="J14" s="82" t="s">
        <v>21</v>
      </c>
      <c r="K14" s="72"/>
      <c r="L14" s="72"/>
      <c r="M14" s="72"/>
      <c r="N14" s="72"/>
      <c r="O14" s="77"/>
      <c r="P14" s="76"/>
    </row>
    <row r="15" spans="1:16" ht="18.95" customHeight="1">
      <c r="A15" s="72">
        <v>7</v>
      </c>
      <c r="B15" s="73" t="s">
        <v>88</v>
      </c>
      <c r="C15" s="74" t="s">
        <v>33</v>
      </c>
      <c r="D15" s="74" t="s">
        <v>33</v>
      </c>
      <c r="E15" s="86" t="s">
        <v>34</v>
      </c>
      <c r="F15" s="89" t="s">
        <v>32</v>
      </c>
      <c r="G15" s="82" t="s">
        <v>22</v>
      </c>
      <c r="H15" s="82"/>
      <c r="I15" s="72" t="s">
        <v>21</v>
      </c>
      <c r="J15" s="82"/>
      <c r="K15" s="72" t="s">
        <v>90</v>
      </c>
      <c r="L15" s="72" t="s">
        <v>90</v>
      </c>
      <c r="M15" s="72" t="s">
        <v>90</v>
      </c>
      <c r="N15" s="72" t="s">
        <v>90</v>
      </c>
      <c r="O15" s="76" t="s">
        <v>91</v>
      </c>
      <c r="P15" s="76"/>
    </row>
    <row r="16" spans="1:16" ht="18.95" customHeight="1">
      <c r="A16" s="72">
        <v>8</v>
      </c>
      <c r="B16" s="73" t="s">
        <v>92</v>
      </c>
      <c r="C16" s="74" t="s">
        <v>33</v>
      </c>
      <c r="D16" s="74" t="s">
        <v>33</v>
      </c>
      <c r="E16" s="86" t="s">
        <v>34</v>
      </c>
      <c r="F16" s="89" t="s">
        <v>32</v>
      </c>
      <c r="G16" s="82" t="s">
        <v>21</v>
      </c>
      <c r="H16" s="82"/>
      <c r="I16" s="72"/>
      <c r="J16" s="82" t="s">
        <v>21</v>
      </c>
      <c r="K16" s="72" t="s">
        <v>90</v>
      </c>
      <c r="L16" s="72" t="s">
        <v>90</v>
      </c>
      <c r="M16" s="72" t="s">
        <v>90</v>
      </c>
      <c r="N16" s="72" t="s">
        <v>90</v>
      </c>
      <c r="O16" s="76" t="s">
        <v>93</v>
      </c>
      <c r="P16" s="76"/>
    </row>
    <row r="17" spans="1:16" ht="18.95" customHeight="1">
      <c r="A17" s="72">
        <v>9</v>
      </c>
      <c r="B17" s="74" t="s">
        <v>94</v>
      </c>
      <c r="C17" s="74" t="s">
        <v>33</v>
      </c>
      <c r="D17" s="74" t="s">
        <v>33</v>
      </c>
      <c r="E17" s="88" t="s">
        <v>34</v>
      </c>
      <c r="F17" s="89" t="s">
        <v>32</v>
      </c>
      <c r="G17" s="82" t="s">
        <v>21</v>
      </c>
      <c r="H17" s="82"/>
      <c r="I17" s="72"/>
      <c r="J17" s="82" t="s">
        <v>21</v>
      </c>
      <c r="K17" s="72" t="s">
        <v>90</v>
      </c>
      <c r="L17" s="72" t="s">
        <v>90</v>
      </c>
      <c r="M17" s="72" t="s">
        <v>90</v>
      </c>
      <c r="N17" s="72" t="s">
        <v>90</v>
      </c>
      <c r="O17" s="76" t="s">
        <v>93</v>
      </c>
      <c r="P17" s="76"/>
    </row>
    <row r="18" spans="1:16" ht="18.95" customHeight="1">
      <c r="A18" s="72">
        <v>10</v>
      </c>
      <c r="B18" s="74" t="s">
        <v>95</v>
      </c>
      <c r="C18" s="74" t="s">
        <v>25</v>
      </c>
      <c r="D18" s="74" t="s">
        <v>25</v>
      </c>
      <c r="E18" s="88" t="s">
        <v>34</v>
      </c>
      <c r="F18" s="89" t="s">
        <v>26</v>
      </c>
      <c r="G18" s="82" t="s">
        <v>21</v>
      </c>
      <c r="H18" s="82" t="s">
        <v>21</v>
      </c>
      <c r="I18" s="82"/>
      <c r="J18" s="82"/>
      <c r="K18" s="72"/>
      <c r="L18" s="72"/>
      <c r="M18" s="72"/>
      <c r="N18" s="72"/>
      <c r="O18" s="76" t="s">
        <v>96</v>
      </c>
      <c r="P18" s="76"/>
    </row>
    <row r="19" spans="1:16" ht="18.95" customHeight="1">
      <c r="A19" s="72">
        <v>11</v>
      </c>
      <c r="B19" s="73" t="s">
        <v>97</v>
      </c>
      <c r="C19" s="74" t="s">
        <v>33</v>
      </c>
      <c r="D19" s="78" t="s">
        <v>129</v>
      </c>
      <c r="E19" s="86" t="s">
        <v>34</v>
      </c>
      <c r="F19" s="89" t="s">
        <v>26</v>
      </c>
      <c r="G19" s="82" t="s">
        <v>21</v>
      </c>
      <c r="H19" s="82" t="s">
        <v>21</v>
      </c>
      <c r="I19" s="82"/>
      <c r="J19" s="82"/>
      <c r="K19" s="72" t="s">
        <v>90</v>
      </c>
      <c r="L19" s="72" t="s">
        <v>90</v>
      </c>
      <c r="M19" s="72" t="s">
        <v>90</v>
      </c>
      <c r="N19" s="72" t="s">
        <v>90</v>
      </c>
      <c r="O19" s="76" t="s">
        <v>99</v>
      </c>
      <c r="P19" s="76"/>
    </row>
    <row r="20" spans="1:16" ht="18.95" customHeight="1">
      <c r="A20" s="72">
        <v>12</v>
      </c>
      <c r="B20" s="78" t="s">
        <v>100</v>
      </c>
      <c r="C20" s="78" t="s">
        <v>35</v>
      </c>
      <c r="D20" s="78" t="s">
        <v>130</v>
      </c>
      <c r="E20" s="72" t="s">
        <v>34</v>
      </c>
      <c r="F20" s="72" t="s">
        <v>26</v>
      </c>
      <c r="G20" s="82" t="s">
        <v>22</v>
      </c>
      <c r="H20" s="82"/>
      <c r="I20" s="82"/>
      <c r="J20" s="82"/>
      <c r="K20" s="72"/>
      <c r="L20" s="72"/>
      <c r="M20" s="72"/>
      <c r="N20" s="72"/>
      <c r="O20" s="76" t="s">
        <v>101</v>
      </c>
      <c r="P20" s="76"/>
    </row>
    <row r="21" spans="1:16" ht="18.95" customHeight="1">
      <c r="A21" s="133">
        <v>13</v>
      </c>
      <c r="B21" s="138" t="s">
        <v>102</v>
      </c>
      <c r="C21" s="138" t="s">
        <v>35</v>
      </c>
      <c r="D21" s="78" t="s">
        <v>25</v>
      </c>
      <c r="E21" s="133" t="s">
        <v>34</v>
      </c>
      <c r="F21" s="133" t="s">
        <v>26</v>
      </c>
      <c r="G21" s="133" t="s">
        <v>21</v>
      </c>
      <c r="H21" s="82" t="s">
        <v>21</v>
      </c>
      <c r="I21" s="82"/>
      <c r="J21" s="82"/>
      <c r="K21" s="72"/>
      <c r="L21" s="72"/>
      <c r="M21" s="72"/>
      <c r="N21" s="72"/>
      <c r="O21" s="77" t="s">
        <v>104</v>
      </c>
      <c r="P21" s="76"/>
    </row>
    <row r="22" spans="1:16" ht="18.95" customHeight="1">
      <c r="A22" s="135"/>
      <c r="B22" s="139"/>
      <c r="C22" s="139"/>
      <c r="D22" s="78" t="s">
        <v>127</v>
      </c>
      <c r="E22" s="135"/>
      <c r="F22" s="135"/>
      <c r="G22" s="135"/>
      <c r="H22" s="82"/>
      <c r="I22" s="72"/>
      <c r="J22" s="82" t="s">
        <v>21</v>
      </c>
      <c r="K22" s="72"/>
      <c r="L22" s="72"/>
      <c r="M22" s="72"/>
      <c r="N22" s="72"/>
      <c r="O22" s="77"/>
      <c r="P22" s="76"/>
    </row>
    <row r="23" spans="1:16" ht="18.95" customHeight="1">
      <c r="A23" s="135"/>
      <c r="B23" s="139"/>
      <c r="C23" s="139"/>
      <c r="D23" s="78" t="s">
        <v>35</v>
      </c>
      <c r="E23" s="135"/>
      <c r="F23" s="135"/>
      <c r="G23" s="135"/>
      <c r="H23" s="82" t="s">
        <v>21</v>
      </c>
      <c r="I23" s="82"/>
      <c r="J23" s="82"/>
      <c r="K23" s="72"/>
      <c r="L23" s="72"/>
      <c r="M23" s="72"/>
      <c r="N23" s="72"/>
      <c r="O23" s="77"/>
      <c r="P23" s="76"/>
    </row>
    <row r="24" spans="1:16" ht="18.95" customHeight="1">
      <c r="A24" s="134"/>
      <c r="B24" s="140"/>
      <c r="C24" s="140"/>
      <c r="D24" s="78" t="s">
        <v>33</v>
      </c>
      <c r="E24" s="134"/>
      <c r="F24" s="134"/>
      <c r="G24" s="134"/>
      <c r="H24" s="82" t="s">
        <v>21</v>
      </c>
      <c r="I24" s="82"/>
      <c r="J24" s="82"/>
      <c r="K24" s="72"/>
      <c r="L24" s="72"/>
      <c r="M24" s="72"/>
      <c r="N24" s="72"/>
      <c r="O24" s="77"/>
      <c r="P24" s="76"/>
    </row>
    <row r="25" spans="1:16" ht="18.95" customHeight="1">
      <c r="A25" s="72">
        <v>14</v>
      </c>
      <c r="B25" s="73" t="s">
        <v>105</v>
      </c>
      <c r="C25" s="74" t="s">
        <v>36</v>
      </c>
      <c r="D25" s="78" t="s">
        <v>129</v>
      </c>
      <c r="E25" s="86" t="s">
        <v>38</v>
      </c>
      <c r="F25" s="89" t="s">
        <v>32</v>
      </c>
      <c r="G25" s="82" t="s">
        <v>21</v>
      </c>
      <c r="H25" s="82" t="s">
        <v>21</v>
      </c>
      <c r="I25" s="82"/>
      <c r="J25" s="82"/>
      <c r="K25" s="72"/>
      <c r="L25" s="72"/>
      <c r="M25" s="72"/>
      <c r="N25" s="72"/>
      <c r="O25" s="76" t="s">
        <v>106</v>
      </c>
      <c r="P25" s="76"/>
    </row>
    <row r="26" spans="1:16" ht="18.95" customHeight="1">
      <c r="A26" s="72">
        <v>15</v>
      </c>
      <c r="B26" s="73" t="s">
        <v>107</v>
      </c>
      <c r="C26" s="74" t="s">
        <v>36</v>
      </c>
      <c r="D26" s="78" t="s">
        <v>130</v>
      </c>
      <c r="E26" s="86" t="s">
        <v>38</v>
      </c>
      <c r="F26" s="89" t="s">
        <v>32</v>
      </c>
      <c r="G26" s="82" t="s">
        <v>22</v>
      </c>
      <c r="H26" s="82"/>
      <c r="I26" s="82"/>
      <c r="J26" s="82"/>
      <c r="K26" s="72"/>
      <c r="L26" s="72"/>
      <c r="M26" s="72"/>
      <c r="N26" s="72"/>
      <c r="O26" s="76"/>
      <c r="P26" s="76"/>
    </row>
    <row r="27" spans="1:16" ht="18.95" customHeight="1">
      <c r="A27" s="72">
        <v>16</v>
      </c>
      <c r="B27" s="73" t="s">
        <v>108</v>
      </c>
      <c r="C27" s="74" t="s">
        <v>36</v>
      </c>
      <c r="D27" s="78" t="s">
        <v>130</v>
      </c>
      <c r="E27" s="86" t="s">
        <v>38</v>
      </c>
      <c r="F27" s="89" t="s">
        <v>26</v>
      </c>
      <c r="G27" s="82" t="s">
        <v>22</v>
      </c>
      <c r="H27" s="82"/>
      <c r="I27" s="82"/>
      <c r="J27" s="82"/>
      <c r="K27" s="72"/>
      <c r="L27" s="72"/>
      <c r="M27" s="72"/>
      <c r="N27" s="72"/>
      <c r="O27" s="76" t="s">
        <v>101</v>
      </c>
      <c r="P27" s="76"/>
    </row>
    <row r="28" spans="1:16" ht="18.95" customHeight="1">
      <c r="A28" s="72">
        <v>17</v>
      </c>
      <c r="B28" s="78" t="s">
        <v>109</v>
      </c>
      <c r="C28" s="78" t="s">
        <v>33</v>
      </c>
      <c r="D28" s="78" t="s">
        <v>129</v>
      </c>
      <c r="E28" s="72" t="s">
        <v>34</v>
      </c>
      <c r="F28" s="72" t="s">
        <v>26</v>
      </c>
      <c r="G28" s="82" t="s">
        <v>21</v>
      </c>
      <c r="H28" s="82" t="s">
        <v>21</v>
      </c>
      <c r="I28" s="82"/>
      <c r="J28" s="82"/>
      <c r="K28" s="72" t="s">
        <v>90</v>
      </c>
      <c r="L28" s="72" t="s">
        <v>90</v>
      </c>
      <c r="M28" s="72" t="s">
        <v>90</v>
      </c>
      <c r="N28" s="72" t="s">
        <v>90</v>
      </c>
      <c r="O28" s="76" t="s">
        <v>99</v>
      </c>
      <c r="P28" s="76"/>
    </row>
    <row r="29" spans="1:16" ht="18.95" customHeight="1">
      <c r="A29" s="72">
        <v>18</v>
      </c>
      <c r="B29" s="78" t="s">
        <v>110</v>
      </c>
      <c r="C29" s="78" t="s">
        <v>25</v>
      </c>
      <c r="D29" s="78" t="s">
        <v>25</v>
      </c>
      <c r="E29" s="72" t="s">
        <v>34</v>
      </c>
      <c r="F29" s="72" t="s">
        <v>26</v>
      </c>
      <c r="G29" s="82" t="s">
        <v>21</v>
      </c>
      <c r="H29" s="82" t="s">
        <v>21</v>
      </c>
      <c r="I29" s="82"/>
      <c r="J29" s="82"/>
      <c r="K29" s="72"/>
      <c r="L29" s="72"/>
      <c r="M29" s="72"/>
      <c r="N29" s="72"/>
      <c r="O29" s="76" t="s">
        <v>96</v>
      </c>
      <c r="P29" s="76"/>
    </row>
    <row r="30" spans="1:16" ht="18.95" customHeight="1">
      <c r="A30" s="72">
        <v>19</v>
      </c>
      <c r="B30" s="74" t="s">
        <v>111</v>
      </c>
      <c r="C30" s="78" t="s">
        <v>33</v>
      </c>
      <c r="D30" s="78" t="s">
        <v>129</v>
      </c>
      <c r="E30" s="72" t="s">
        <v>34</v>
      </c>
      <c r="F30" s="72" t="s">
        <v>26</v>
      </c>
      <c r="G30" s="82" t="s">
        <v>21</v>
      </c>
      <c r="H30" s="82" t="s">
        <v>21</v>
      </c>
      <c r="I30" s="82"/>
      <c r="J30" s="82"/>
      <c r="K30" s="72" t="s">
        <v>90</v>
      </c>
      <c r="L30" s="72" t="s">
        <v>90</v>
      </c>
      <c r="M30" s="72" t="s">
        <v>90</v>
      </c>
      <c r="N30" s="72" t="s">
        <v>90</v>
      </c>
      <c r="O30" s="76" t="s">
        <v>99</v>
      </c>
      <c r="P30" s="76"/>
    </row>
    <row r="31" spans="1:16" ht="18.95" customHeight="1">
      <c r="A31" s="72">
        <v>20</v>
      </c>
      <c r="B31" s="78" t="s">
        <v>112</v>
      </c>
      <c r="C31" s="78" t="s">
        <v>31</v>
      </c>
      <c r="D31" s="78" t="s">
        <v>130</v>
      </c>
      <c r="E31" s="72" t="s">
        <v>28</v>
      </c>
      <c r="F31" s="72" t="s">
        <v>26</v>
      </c>
      <c r="G31" s="82" t="s">
        <v>22</v>
      </c>
      <c r="H31" s="82"/>
      <c r="I31" s="82"/>
      <c r="J31" s="82"/>
      <c r="K31" s="72"/>
      <c r="L31" s="72"/>
      <c r="M31" s="72"/>
      <c r="N31" s="81"/>
      <c r="O31" s="79" t="s">
        <v>101</v>
      </c>
      <c r="P31" s="76"/>
    </row>
    <row r="32" spans="1:16" ht="18.95" customHeight="1">
      <c r="A32" s="72">
        <v>21</v>
      </c>
      <c r="B32" s="78" t="s">
        <v>113</v>
      </c>
      <c r="C32" s="78" t="s">
        <v>31</v>
      </c>
      <c r="D32" s="78" t="s">
        <v>129</v>
      </c>
      <c r="E32" s="72" t="s">
        <v>34</v>
      </c>
      <c r="F32" s="72" t="s">
        <v>32</v>
      </c>
      <c r="G32" s="82" t="s">
        <v>22</v>
      </c>
      <c r="H32" s="82" t="s">
        <v>21</v>
      </c>
      <c r="I32" s="82"/>
      <c r="J32" s="82"/>
      <c r="K32" s="72"/>
      <c r="L32" s="72"/>
      <c r="M32" s="72"/>
      <c r="N32" s="81"/>
      <c r="O32" s="79" t="s">
        <v>99</v>
      </c>
      <c r="P32" s="76"/>
    </row>
    <row r="33" spans="1:16" ht="18.95" customHeight="1">
      <c r="A33" s="72">
        <v>22</v>
      </c>
      <c r="B33" s="78" t="s">
        <v>114</v>
      </c>
      <c r="C33" s="78" t="s">
        <v>25</v>
      </c>
      <c r="D33" s="78" t="s">
        <v>130</v>
      </c>
      <c r="E33" s="72" t="s">
        <v>28</v>
      </c>
      <c r="F33" s="72" t="s">
        <v>26</v>
      </c>
      <c r="G33" s="82" t="s">
        <v>22</v>
      </c>
      <c r="H33" s="82"/>
      <c r="I33" s="82"/>
      <c r="J33" s="82"/>
      <c r="K33" s="72"/>
      <c r="L33" s="72"/>
      <c r="M33" s="72"/>
      <c r="N33" s="81"/>
      <c r="O33" s="79" t="s">
        <v>101</v>
      </c>
      <c r="P33" s="76"/>
    </row>
    <row r="34" spans="1:16" ht="18.95" customHeight="1">
      <c r="A34" s="72">
        <v>23</v>
      </c>
      <c r="B34" s="78" t="s">
        <v>115</v>
      </c>
      <c r="C34" s="78" t="s">
        <v>25</v>
      </c>
      <c r="D34" s="78" t="s">
        <v>130</v>
      </c>
      <c r="E34" s="72" t="s">
        <v>28</v>
      </c>
      <c r="F34" s="72" t="s">
        <v>26</v>
      </c>
      <c r="G34" s="82" t="s">
        <v>22</v>
      </c>
      <c r="H34" s="82"/>
      <c r="I34" s="82"/>
      <c r="J34" s="82"/>
      <c r="K34" s="72"/>
      <c r="L34" s="72"/>
      <c r="M34" s="72"/>
      <c r="N34" s="81"/>
      <c r="O34" s="79" t="s">
        <v>101</v>
      </c>
      <c r="P34" s="76"/>
    </row>
    <row r="35" spans="1:16" ht="18.95" customHeight="1">
      <c r="A35" s="133">
        <v>24</v>
      </c>
      <c r="B35" s="138" t="s">
        <v>116</v>
      </c>
      <c r="C35" s="138" t="s">
        <v>37</v>
      </c>
      <c r="D35" s="78" t="s">
        <v>127</v>
      </c>
      <c r="E35" s="133" t="s">
        <v>34</v>
      </c>
      <c r="F35" s="133" t="s">
        <v>32</v>
      </c>
      <c r="G35" s="133" t="s">
        <v>22</v>
      </c>
      <c r="H35" s="82"/>
      <c r="I35" s="72"/>
      <c r="J35" s="82" t="s">
        <v>21</v>
      </c>
      <c r="K35" s="72"/>
      <c r="L35" s="72"/>
      <c r="M35" s="72"/>
      <c r="N35" s="81"/>
      <c r="O35" s="83" t="s">
        <v>117</v>
      </c>
      <c r="P35" s="76"/>
    </row>
    <row r="36" spans="1:16" ht="18.95" customHeight="1">
      <c r="A36" s="134"/>
      <c r="B36" s="140"/>
      <c r="C36" s="140"/>
      <c r="D36" s="78" t="s">
        <v>129</v>
      </c>
      <c r="E36" s="134"/>
      <c r="F36" s="134"/>
      <c r="G36" s="134"/>
      <c r="H36" s="82" t="s">
        <v>21</v>
      </c>
      <c r="I36" s="82"/>
      <c r="J36" s="82"/>
      <c r="K36" s="72"/>
      <c r="L36" s="72"/>
      <c r="M36" s="72"/>
      <c r="N36" s="81"/>
      <c r="O36" s="83"/>
      <c r="P36" s="76"/>
    </row>
    <row r="37" spans="1:16" ht="18.95" customHeight="1">
      <c r="A37" s="72">
        <v>25</v>
      </c>
      <c r="B37" s="78" t="s">
        <v>118</v>
      </c>
      <c r="C37" s="78" t="s">
        <v>33</v>
      </c>
      <c r="D37" s="78" t="s">
        <v>130</v>
      </c>
      <c r="E37" s="72" t="s">
        <v>34</v>
      </c>
      <c r="F37" s="72" t="s">
        <v>26</v>
      </c>
      <c r="G37" s="82" t="s">
        <v>22</v>
      </c>
      <c r="H37" s="82"/>
      <c r="I37" s="82"/>
      <c r="J37" s="82"/>
      <c r="K37" s="72" t="s">
        <v>90</v>
      </c>
      <c r="L37" s="72" t="s">
        <v>90</v>
      </c>
      <c r="M37" s="72" t="s">
        <v>90</v>
      </c>
      <c r="N37" s="72" t="s">
        <v>90</v>
      </c>
      <c r="O37" s="79"/>
      <c r="P37" s="76"/>
    </row>
    <row r="38" spans="1:16" ht="18.95" customHeight="1">
      <c r="A38" s="133">
        <v>26</v>
      </c>
      <c r="B38" s="138" t="s">
        <v>119</v>
      </c>
      <c r="C38" s="138" t="s">
        <v>33</v>
      </c>
      <c r="D38" s="78" t="s">
        <v>25</v>
      </c>
      <c r="E38" s="133" t="s">
        <v>34</v>
      </c>
      <c r="F38" s="133" t="s">
        <v>26</v>
      </c>
      <c r="G38" s="133" t="s">
        <v>21</v>
      </c>
      <c r="H38" s="82"/>
      <c r="I38" s="72" t="s">
        <v>21</v>
      </c>
      <c r="J38" s="82"/>
      <c r="K38" s="72"/>
      <c r="L38" s="72"/>
      <c r="M38" s="72"/>
      <c r="N38" s="72"/>
      <c r="O38" s="80" t="s">
        <v>121</v>
      </c>
      <c r="P38" s="76"/>
    </row>
    <row r="39" spans="1:16" ht="18.95" customHeight="1">
      <c r="A39" s="135"/>
      <c r="B39" s="139"/>
      <c r="C39" s="139"/>
      <c r="D39" s="78" t="s">
        <v>127</v>
      </c>
      <c r="E39" s="135"/>
      <c r="F39" s="135"/>
      <c r="G39" s="135"/>
      <c r="H39" s="82"/>
      <c r="I39" s="72"/>
      <c r="J39" s="82" t="s">
        <v>21</v>
      </c>
      <c r="K39" s="72"/>
      <c r="L39" s="72"/>
      <c r="M39" s="72"/>
      <c r="N39" s="72"/>
      <c r="O39" s="80"/>
      <c r="P39" s="76"/>
    </row>
    <row r="40" spans="1:16" ht="18.95" customHeight="1">
      <c r="A40" s="134"/>
      <c r="B40" s="140"/>
      <c r="C40" s="140"/>
      <c r="D40" s="78" t="s">
        <v>33</v>
      </c>
      <c r="E40" s="134"/>
      <c r="F40" s="134"/>
      <c r="G40" s="134"/>
      <c r="H40" s="82"/>
      <c r="I40" s="72" t="s">
        <v>21</v>
      </c>
      <c r="J40" s="82"/>
      <c r="K40" s="72" t="s">
        <v>90</v>
      </c>
      <c r="L40" s="72" t="s">
        <v>90</v>
      </c>
      <c r="M40" s="72" t="s">
        <v>90</v>
      </c>
      <c r="N40" s="72" t="s">
        <v>90</v>
      </c>
      <c r="O40" s="80"/>
      <c r="P40" s="76"/>
    </row>
    <row r="41" spans="1:16" ht="18.95" customHeight="1">
      <c r="A41" s="72">
        <v>27</v>
      </c>
      <c r="B41" s="78" t="s">
        <v>122</v>
      </c>
      <c r="C41" s="78" t="s">
        <v>25</v>
      </c>
      <c r="D41" s="78" t="s">
        <v>127</v>
      </c>
      <c r="E41" s="72" t="s">
        <v>34</v>
      </c>
      <c r="F41" s="72" t="s">
        <v>32</v>
      </c>
      <c r="G41" s="82" t="s">
        <v>22</v>
      </c>
      <c r="H41" s="82"/>
      <c r="I41" s="72" t="s">
        <v>21</v>
      </c>
      <c r="J41" s="82"/>
      <c r="K41" s="72"/>
      <c r="L41" s="72"/>
      <c r="M41" s="72"/>
      <c r="N41" s="72"/>
      <c r="O41" s="76" t="s">
        <v>123</v>
      </c>
      <c r="P41" s="76"/>
    </row>
  </sheetData>
  <autoFilter ref="A2:P41" xr:uid="{6225A001-2C29-4C33-9000-94BE6BDABD82}"/>
  <mergeCells count="43">
    <mergeCell ref="B10:B12"/>
    <mergeCell ref="E3:E5"/>
    <mergeCell ref="F3:F5"/>
    <mergeCell ref="E7:E8"/>
    <mergeCell ref="E21:E24"/>
    <mergeCell ref="F21:F24"/>
    <mergeCell ref="F7:F8"/>
    <mergeCell ref="E10:E12"/>
    <mergeCell ref="F10:F12"/>
    <mergeCell ref="E13:E14"/>
    <mergeCell ref="F13:F14"/>
    <mergeCell ref="K1:N1"/>
    <mergeCell ref="A3:A5"/>
    <mergeCell ref="B3:B5"/>
    <mergeCell ref="A7:A8"/>
    <mergeCell ref="B7:B8"/>
    <mergeCell ref="G3:G5"/>
    <mergeCell ref="G7:G8"/>
    <mergeCell ref="A38:A40"/>
    <mergeCell ref="B38:B40"/>
    <mergeCell ref="C3:C5"/>
    <mergeCell ref="C7:C8"/>
    <mergeCell ref="C10:C12"/>
    <mergeCell ref="C13:C14"/>
    <mergeCell ref="C21:C24"/>
    <mergeCell ref="C35:C36"/>
    <mergeCell ref="C38:C40"/>
    <mergeCell ref="A13:A14"/>
    <mergeCell ref="B13:B14"/>
    <mergeCell ref="A21:A24"/>
    <mergeCell ref="B21:B24"/>
    <mergeCell ref="A35:A36"/>
    <mergeCell ref="B35:B36"/>
    <mergeCell ref="A10:A12"/>
    <mergeCell ref="G10:G12"/>
    <mergeCell ref="G13:G14"/>
    <mergeCell ref="G21:G24"/>
    <mergeCell ref="G38:G40"/>
    <mergeCell ref="E35:E36"/>
    <mergeCell ref="F35:F36"/>
    <mergeCell ref="E38:E40"/>
    <mergeCell ref="F38:F40"/>
    <mergeCell ref="G35:G36"/>
  </mergeCells>
  <dataValidations count="3">
    <dataValidation type="list" allowBlank="1" showErrorMessage="1" sqref="F3:G3 G38 G7 G10 F13:G13 G21 G35 F6:F7 F9:F10 F15:F21 F25:F35 F37:F38 F41" xr:uid="{2F5A7D79-5898-44E6-B9D0-AC4E84011B61}">
      <formula1>"Lead,Associate,Specialist"</formula1>
    </dataValidation>
    <dataValidation type="list" allowBlank="1" showErrorMessage="1" sqref="E3 E6:E7 E9:E10 E13 E15:E21 E25:E35 E37:E38 E41" xr:uid="{336B825F-6203-4341-97C2-2C940DE02E01}">
      <formula1>"Dev,BA,QA"</formula1>
    </dataValidation>
    <dataValidation type="list" allowBlank="1" showErrorMessage="1" sqref="D38:D41 D3:D18 D21:D24 D29 D35 C3 C6:C7 C9:C10 C13 C15:C21 C25:C35 C37:C38 C41" xr:uid="{81385BEF-A26D-4960-94E8-307DD664371E}">
      <formula1>"BillingCenter,ClaimCenter,Conversion,Data,Datahub,DHIC,Digital,Integration,Migration,PolicyCenter,Portal,Print,Testing,Transition,Others"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2"/>
  <sheetViews>
    <sheetView zoomScale="90" zoomScaleNormal="90" workbookViewId="0">
      <selection activeCell="J14" sqref="J14"/>
    </sheetView>
  </sheetViews>
  <sheetFormatPr defaultColWidth="14.42578125" defaultRowHeight="14.45"/>
  <cols>
    <col min="1" max="1" width="27.85546875" customWidth="1"/>
    <col min="2" max="2" width="9.85546875" customWidth="1"/>
    <col min="3" max="3" width="9.42578125" customWidth="1"/>
    <col min="4" max="4" width="12.42578125" customWidth="1"/>
    <col min="5" max="5" width="41.140625" customWidth="1"/>
    <col min="6" max="6" width="43.42578125" hidden="1" customWidth="1"/>
    <col min="7" max="7" width="19.42578125" customWidth="1"/>
    <col min="8" max="8" width="36.42578125" hidden="1" customWidth="1"/>
    <col min="9" max="9" width="31.140625" hidden="1" customWidth="1"/>
    <col min="10" max="10" width="48" customWidth="1"/>
    <col min="11" max="11" width="23.140625" customWidth="1"/>
    <col min="12" max="26" width="8.85546875" customWidth="1"/>
  </cols>
  <sheetData>
    <row r="1" spans="1:11">
      <c r="A1" s="29" t="s">
        <v>140</v>
      </c>
      <c r="B1" s="29" t="s">
        <v>141</v>
      </c>
      <c r="C1" s="29" t="s">
        <v>19</v>
      </c>
      <c r="D1" s="29" t="s">
        <v>20</v>
      </c>
      <c r="E1" s="29" t="s">
        <v>142</v>
      </c>
      <c r="F1" s="29" t="s">
        <v>143</v>
      </c>
      <c r="G1" s="29" t="s">
        <v>144</v>
      </c>
      <c r="H1" s="3" t="s">
        <v>145</v>
      </c>
      <c r="I1" s="3" t="s">
        <v>146</v>
      </c>
      <c r="J1" s="40" t="s">
        <v>147</v>
      </c>
      <c r="K1" s="65" t="s">
        <v>148</v>
      </c>
    </row>
    <row r="2" spans="1:11" ht="43.5" hidden="1">
      <c r="A2" s="4" t="s">
        <v>70</v>
      </c>
      <c r="B2" s="5">
        <v>1</v>
      </c>
      <c r="C2" s="4" t="s">
        <v>28</v>
      </c>
      <c r="D2" s="6" t="s">
        <v>32</v>
      </c>
      <c r="E2" s="14" t="s">
        <v>149</v>
      </c>
      <c r="F2" s="8"/>
      <c r="G2" s="7" t="s">
        <v>31</v>
      </c>
      <c r="H2" s="16"/>
      <c r="I2" s="36"/>
      <c r="J2" s="127" t="s">
        <v>72</v>
      </c>
      <c r="K2" s="39" t="s">
        <v>21</v>
      </c>
    </row>
    <row r="3" spans="1:11" hidden="1">
      <c r="A3" s="4" t="s">
        <v>73</v>
      </c>
      <c r="B3" s="5">
        <v>1</v>
      </c>
      <c r="C3" s="4" t="s">
        <v>28</v>
      </c>
      <c r="D3" s="6" t="s">
        <v>32</v>
      </c>
      <c r="E3" s="14" t="s">
        <v>150</v>
      </c>
      <c r="F3" s="4"/>
      <c r="G3" s="7" t="s">
        <v>25</v>
      </c>
      <c r="H3" s="16"/>
      <c r="I3" s="36"/>
      <c r="J3" s="39" t="s">
        <v>75</v>
      </c>
      <c r="K3" s="39" t="s">
        <v>21</v>
      </c>
    </row>
    <row r="4" spans="1:11" ht="29.1" hidden="1">
      <c r="A4" s="19" t="s">
        <v>76</v>
      </c>
      <c r="B4" s="5">
        <v>1</v>
      </c>
      <c r="C4" s="19" t="s">
        <v>28</v>
      </c>
      <c r="D4" s="20" t="s">
        <v>26</v>
      </c>
      <c r="E4" s="21" t="s">
        <v>151</v>
      </c>
      <c r="F4" s="19"/>
      <c r="G4" s="20" t="s">
        <v>25</v>
      </c>
      <c r="H4" s="31"/>
      <c r="I4" s="37"/>
      <c r="J4" s="127" t="s">
        <v>78</v>
      </c>
      <c r="K4" s="39" t="s">
        <v>21</v>
      </c>
    </row>
    <row r="5" spans="1:11" hidden="1">
      <c r="A5" s="4" t="s">
        <v>79</v>
      </c>
      <c r="B5" s="5">
        <v>1</v>
      </c>
      <c r="C5" s="4" t="s">
        <v>34</v>
      </c>
      <c r="D5" s="6" t="s">
        <v>32</v>
      </c>
      <c r="E5" s="14" t="s">
        <v>152</v>
      </c>
      <c r="F5" s="4"/>
      <c r="G5" s="7" t="s">
        <v>25</v>
      </c>
      <c r="H5" s="16"/>
      <c r="I5" s="36"/>
      <c r="J5" s="128" t="s">
        <v>80</v>
      </c>
      <c r="K5" s="39" t="s">
        <v>21</v>
      </c>
    </row>
    <row r="6" spans="1:11" ht="29.1" hidden="1">
      <c r="A6" s="44" t="s">
        <v>153</v>
      </c>
      <c r="B6" s="5">
        <v>1</v>
      </c>
      <c r="C6" s="4" t="s">
        <v>34</v>
      </c>
      <c r="D6" s="6" t="s">
        <v>32</v>
      </c>
      <c r="E6" s="14" t="s">
        <v>154</v>
      </c>
      <c r="F6" s="9"/>
      <c r="G6" s="7" t="s">
        <v>25</v>
      </c>
      <c r="H6" s="16"/>
      <c r="I6" s="36"/>
      <c r="J6" s="127" t="s">
        <v>155</v>
      </c>
      <c r="K6" s="39" t="s">
        <v>21</v>
      </c>
    </row>
    <row r="7" spans="1:11" ht="43.5" hidden="1">
      <c r="A7" s="4" t="s">
        <v>81</v>
      </c>
      <c r="B7" s="5">
        <v>1</v>
      </c>
      <c r="C7" s="4" t="s">
        <v>34</v>
      </c>
      <c r="D7" s="6" t="s">
        <v>32</v>
      </c>
      <c r="E7" s="14" t="s">
        <v>156</v>
      </c>
      <c r="F7" s="8"/>
      <c r="G7" s="7" t="s">
        <v>31</v>
      </c>
      <c r="H7" s="16"/>
      <c r="I7" s="36"/>
      <c r="J7" s="127" t="s">
        <v>84</v>
      </c>
      <c r="K7" s="39" t="s">
        <v>21</v>
      </c>
    </row>
    <row r="8" spans="1:11" ht="29.1" hidden="1">
      <c r="A8" s="4" t="s">
        <v>85</v>
      </c>
      <c r="B8" s="5">
        <v>1</v>
      </c>
      <c r="C8" s="4" t="s">
        <v>34</v>
      </c>
      <c r="D8" s="6" t="s">
        <v>61</v>
      </c>
      <c r="E8" s="14" t="s">
        <v>157</v>
      </c>
      <c r="F8" s="4"/>
      <c r="G8" s="7" t="s">
        <v>86</v>
      </c>
      <c r="H8" s="16"/>
      <c r="I8" s="36"/>
      <c r="J8" s="59" t="s">
        <v>87</v>
      </c>
      <c r="K8" s="39" t="s">
        <v>21</v>
      </c>
    </row>
    <row r="9" spans="1:11" hidden="1">
      <c r="A9" s="4" t="s">
        <v>88</v>
      </c>
      <c r="B9" s="5">
        <v>1</v>
      </c>
      <c r="C9" s="4" t="s">
        <v>34</v>
      </c>
      <c r="D9" s="6" t="s">
        <v>32</v>
      </c>
      <c r="E9" s="14" t="s">
        <v>158</v>
      </c>
      <c r="F9" s="4"/>
      <c r="G9" s="7" t="s">
        <v>33</v>
      </c>
      <c r="H9" s="16"/>
      <c r="I9" s="36"/>
      <c r="J9" s="128" t="s">
        <v>159</v>
      </c>
      <c r="K9" s="39" t="s">
        <v>22</v>
      </c>
    </row>
    <row r="10" spans="1:11" hidden="1">
      <c r="A10" s="4" t="s">
        <v>92</v>
      </c>
      <c r="B10" s="5">
        <v>1</v>
      </c>
      <c r="C10" s="4" t="s">
        <v>34</v>
      </c>
      <c r="D10" s="6" t="s">
        <v>32</v>
      </c>
      <c r="E10" s="14" t="s">
        <v>160</v>
      </c>
      <c r="F10" s="9"/>
      <c r="G10" s="7" t="s">
        <v>33</v>
      </c>
      <c r="H10" s="16"/>
      <c r="I10" s="36"/>
      <c r="J10" s="39" t="s">
        <v>93</v>
      </c>
      <c r="K10" s="39" t="s">
        <v>21</v>
      </c>
    </row>
    <row r="11" spans="1:11" hidden="1">
      <c r="A11" s="7" t="s">
        <v>94</v>
      </c>
      <c r="B11" s="5">
        <v>1</v>
      </c>
      <c r="C11" s="7" t="s">
        <v>34</v>
      </c>
      <c r="D11" s="6" t="s">
        <v>32</v>
      </c>
      <c r="E11" s="15" t="s">
        <v>161</v>
      </c>
      <c r="F11" s="7"/>
      <c r="G11" s="7" t="s">
        <v>33</v>
      </c>
      <c r="H11" s="16"/>
      <c r="I11" s="36"/>
      <c r="J11" s="39" t="s">
        <v>93</v>
      </c>
      <c r="K11" s="39" t="s">
        <v>21</v>
      </c>
    </row>
    <row r="12" spans="1:11" hidden="1">
      <c r="A12" s="7" t="s">
        <v>95</v>
      </c>
      <c r="B12" s="5">
        <v>1</v>
      </c>
      <c r="C12" s="7" t="s">
        <v>34</v>
      </c>
      <c r="D12" s="6" t="s">
        <v>26</v>
      </c>
      <c r="E12" s="15" t="s">
        <v>162</v>
      </c>
      <c r="F12" s="7"/>
      <c r="G12" s="7" t="s">
        <v>25</v>
      </c>
      <c r="H12" s="16"/>
      <c r="I12" s="36"/>
      <c r="J12" s="128" t="s">
        <v>96</v>
      </c>
      <c r="K12" s="39" t="s">
        <v>21</v>
      </c>
    </row>
    <row r="13" spans="1:11" hidden="1">
      <c r="A13" s="44" t="s">
        <v>163</v>
      </c>
      <c r="B13" s="5">
        <v>1</v>
      </c>
      <c r="C13" s="4" t="s">
        <v>34</v>
      </c>
      <c r="D13" s="6" t="s">
        <v>26</v>
      </c>
      <c r="E13" s="14" t="s">
        <v>164</v>
      </c>
      <c r="F13" s="4"/>
      <c r="G13" s="7" t="s">
        <v>25</v>
      </c>
      <c r="H13" s="16"/>
      <c r="I13" s="36"/>
      <c r="J13" s="128" t="s">
        <v>96</v>
      </c>
      <c r="K13" s="39" t="s">
        <v>21</v>
      </c>
    </row>
    <row r="14" spans="1:11" hidden="1">
      <c r="A14" s="4" t="s">
        <v>97</v>
      </c>
      <c r="B14" s="5">
        <v>1</v>
      </c>
      <c r="C14" s="4" t="s">
        <v>34</v>
      </c>
      <c r="D14" s="6" t="s">
        <v>26</v>
      </c>
      <c r="E14" s="14" t="s">
        <v>165</v>
      </c>
      <c r="F14" s="4"/>
      <c r="G14" s="7" t="s">
        <v>33</v>
      </c>
      <c r="H14" s="16"/>
      <c r="I14" s="36"/>
      <c r="J14" s="39" t="s">
        <v>99</v>
      </c>
      <c r="K14" s="39" t="s">
        <v>21</v>
      </c>
    </row>
    <row r="15" spans="1:11" hidden="1">
      <c r="A15" s="4" t="s">
        <v>166</v>
      </c>
      <c r="B15" s="5">
        <v>1</v>
      </c>
      <c r="C15" s="4" t="s">
        <v>34</v>
      </c>
      <c r="D15" s="6" t="s">
        <v>26</v>
      </c>
      <c r="E15" s="14" t="s">
        <v>167</v>
      </c>
      <c r="F15" s="4"/>
      <c r="G15" s="7" t="s">
        <v>33</v>
      </c>
      <c r="H15" s="17"/>
      <c r="I15" s="38"/>
      <c r="J15" s="128" t="s">
        <v>101</v>
      </c>
      <c r="K15" s="39" t="s">
        <v>22</v>
      </c>
    </row>
    <row r="16" spans="1:11" hidden="1">
      <c r="A16" s="19" t="s">
        <v>100</v>
      </c>
      <c r="B16" s="5">
        <v>1</v>
      </c>
      <c r="C16" s="19" t="s">
        <v>34</v>
      </c>
      <c r="D16" s="20" t="s">
        <v>26</v>
      </c>
      <c r="E16" s="21" t="s">
        <v>168</v>
      </c>
      <c r="F16" s="19"/>
      <c r="G16" s="20" t="s">
        <v>35</v>
      </c>
      <c r="H16" s="18"/>
      <c r="I16" s="18"/>
      <c r="J16" s="128" t="s">
        <v>101</v>
      </c>
      <c r="K16" s="39" t="s">
        <v>22</v>
      </c>
    </row>
    <row r="17" spans="1:11" ht="43.5" hidden="1">
      <c r="A17" s="19" t="s">
        <v>102</v>
      </c>
      <c r="B17" s="5">
        <v>1</v>
      </c>
      <c r="C17" s="19" t="s">
        <v>34</v>
      </c>
      <c r="D17" s="20" t="s">
        <v>26</v>
      </c>
      <c r="E17" s="21" t="s">
        <v>169</v>
      </c>
      <c r="F17" s="19"/>
      <c r="G17" s="20" t="s">
        <v>35</v>
      </c>
      <c r="H17" s="18"/>
      <c r="I17" s="18"/>
      <c r="J17" s="127" t="s">
        <v>104</v>
      </c>
      <c r="K17" s="39" t="s">
        <v>21</v>
      </c>
    </row>
    <row r="18" spans="1:11">
      <c r="A18" s="4" t="s">
        <v>105</v>
      </c>
      <c r="B18" s="5">
        <v>1</v>
      </c>
      <c r="C18" s="4" t="s">
        <v>38</v>
      </c>
      <c r="D18" s="6" t="s">
        <v>32</v>
      </c>
      <c r="E18" s="14" t="s">
        <v>170</v>
      </c>
      <c r="F18" s="4"/>
      <c r="G18" s="7" t="s">
        <v>36</v>
      </c>
      <c r="H18" s="22"/>
      <c r="I18" s="22"/>
      <c r="J18" s="128" t="s">
        <v>106</v>
      </c>
      <c r="K18" s="39"/>
    </row>
    <row r="19" spans="1:11">
      <c r="A19" s="63" t="s">
        <v>107</v>
      </c>
      <c r="B19" s="5">
        <v>1</v>
      </c>
      <c r="C19" s="4" t="s">
        <v>38</v>
      </c>
      <c r="D19" s="6" t="s">
        <v>32</v>
      </c>
      <c r="E19" s="14" t="s">
        <v>171</v>
      </c>
      <c r="F19" s="4"/>
      <c r="G19" s="7" t="s">
        <v>36</v>
      </c>
      <c r="H19" s="22"/>
      <c r="I19" s="22"/>
      <c r="J19" s="128"/>
      <c r="K19" s="128" t="s">
        <v>22</v>
      </c>
    </row>
    <row r="20" spans="1:11">
      <c r="A20" s="63" t="s">
        <v>108</v>
      </c>
      <c r="B20" s="5">
        <v>1</v>
      </c>
      <c r="C20" s="4" t="s">
        <v>38</v>
      </c>
      <c r="D20" s="64" t="s">
        <v>26</v>
      </c>
      <c r="E20" s="14" t="s">
        <v>172</v>
      </c>
      <c r="F20" s="4"/>
      <c r="G20" s="7" t="s">
        <v>36</v>
      </c>
      <c r="H20" s="22"/>
      <c r="I20" s="22"/>
      <c r="J20" s="128"/>
      <c r="K20" s="128" t="s">
        <v>22</v>
      </c>
    </row>
    <row r="21" spans="1:11" hidden="1">
      <c r="A21" s="19" t="s">
        <v>109</v>
      </c>
      <c r="B21" s="5">
        <v>1</v>
      </c>
      <c r="C21" s="19" t="s">
        <v>34</v>
      </c>
      <c r="D21" s="20" t="s">
        <v>26</v>
      </c>
      <c r="E21" s="21" t="s">
        <v>173</v>
      </c>
      <c r="F21" s="19"/>
      <c r="G21" s="20" t="s">
        <v>33</v>
      </c>
      <c r="H21" s="18"/>
      <c r="I21" s="18"/>
      <c r="J21" s="39" t="s">
        <v>99</v>
      </c>
      <c r="K21" s="39" t="s">
        <v>21</v>
      </c>
    </row>
    <row r="22" spans="1:11" hidden="1">
      <c r="A22" s="19" t="s">
        <v>110</v>
      </c>
      <c r="B22" s="5">
        <v>1</v>
      </c>
      <c r="C22" s="19" t="s">
        <v>34</v>
      </c>
      <c r="D22" s="20" t="s">
        <v>26</v>
      </c>
      <c r="E22" s="21" t="s">
        <v>174</v>
      </c>
      <c r="F22" s="19"/>
      <c r="G22" s="20" t="s">
        <v>25</v>
      </c>
      <c r="H22" s="18"/>
      <c r="I22" s="18"/>
      <c r="J22" s="128" t="s">
        <v>96</v>
      </c>
      <c r="K22" s="39" t="s">
        <v>21</v>
      </c>
    </row>
    <row r="23" spans="1:11" hidden="1">
      <c r="A23" s="30" t="s">
        <v>111</v>
      </c>
      <c r="B23" s="5">
        <v>1</v>
      </c>
      <c r="C23" s="19" t="s">
        <v>34</v>
      </c>
      <c r="D23" s="20" t="s">
        <v>26</v>
      </c>
      <c r="E23" s="21" t="s">
        <v>175</v>
      </c>
      <c r="F23" s="19"/>
      <c r="G23" s="20" t="s">
        <v>33</v>
      </c>
      <c r="H23" s="18"/>
      <c r="I23" s="18"/>
      <c r="J23" s="39" t="s">
        <v>99</v>
      </c>
      <c r="K23" s="39" t="s">
        <v>21</v>
      </c>
    </row>
    <row r="24" spans="1:11" hidden="1">
      <c r="A24" s="41" t="s">
        <v>112</v>
      </c>
      <c r="B24" s="5">
        <v>1</v>
      </c>
      <c r="C24" s="41" t="s">
        <v>28</v>
      </c>
      <c r="D24" s="20" t="s">
        <v>26</v>
      </c>
      <c r="E24" s="41"/>
      <c r="F24" s="41"/>
      <c r="G24" s="41" t="s">
        <v>31</v>
      </c>
      <c r="H24" s="18"/>
      <c r="I24" s="18"/>
      <c r="J24" s="43" t="s">
        <v>101</v>
      </c>
      <c r="K24" s="39" t="s">
        <v>22</v>
      </c>
    </row>
    <row r="25" spans="1:11" hidden="1">
      <c r="A25" s="41" t="s">
        <v>113</v>
      </c>
      <c r="B25" s="5">
        <v>1</v>
      </c>
      <c r="C25" s="41" t="s">
        <v>34</v>
      </c>
      <c r="D25" s="42" t="s">
        <v>32</v>
      </c>
      <c r="E25" s="41"/>
      <c r="F25" s="41"/>
      <c r="G25" s="41" t="s">
        <v>31</v>
      </c>
      <c r="H25" s="18"/>
      <c r="I25" s="18"/>
      <c r="J25" s="43" t="s">
        <v>99</v>
      </c>
      <c r="K25" s="39" t="s">
        <v>22</v>
      </c>
    </row>
    <row r="26" spans="1:11" hidden="1">
      <c r="A26" s="41" t="s">
        <v>114</v>
      </c>
      <c r="B26" s="5">
        <v>1</v>
      </c>
      <c r="C26" s="41" t="s">
        <v>28</v>
      </c>
      <c r="D26" s="20" t="s">
        <v>26</v>
      </c>
      <c r="E26" s="41"/>
      <c r="F26" s="41"/>
      <c r="G26" s="41" t="s">
        <v>25</v>
      </c>
      <c r="H26" s="18"/>
      <c r="I26" s="18"/>
      <c r="J26" s="43" t="s">
        <v>101</v>
      </c>
      <c r="K26" s="39" t="s">
        <v>22</v>
      </c>
    </row>
    <row r="27" spans="1:11" hidden="1">
      <c r="A27" s="41" t="s">
        <v>115</v>
      </c>
      <c r="B27" s="5">
        <v>1</v>
      </c>
      <c r="C27" s="41" t="s">
        <v>28</v>
      </c>
      <c r="D27" s="20" t="s">
        <v>26</v>
      </c>
      <c r="E27" s="41"/>
      <c r="F27" s="41"/>
      <c r="G27" s="41" t="s">
        <v>25</v>
      </c>
      <c r="H27" s="18"/>
      <c r="I27" s="18"/>
      <c r="J27" s="43" t="s">
        <v>101</v>
      </c>
      <c r="K27" s="39" t="s">
        <v>22</v>
      </c>
    </row>
    <row r="28" spans="1:11" hidden="1">
      <c r="A28" s="129" t="s">
        <v>116</v>
      </c>
      <c r="B28" s="5">
        <v>1</v>
      </c>
      <c r="C28" s="129" t="s">
        <v>34</v>
      </c>
      <c r="D28" s="129" t="s">
        <v>32</v>
      </c>
      <c r="E28" s="41"/>
      <c r="F28" s="41"/>
      <c r="G28" s="129" t="s">
        <v>37</v>
      </c>
      <c r="H28" s="18"/>
      <c r="I28" s="18"/>
      <c r="J28" s="43"/>
      <c r="K28" s="39" t="s">
        <v>176</v>
      </c>
    </row>
    <row r="29" spans="1:11" hidden="1">
      <c r="A29" s="129" t="s">
        <v>118</v>
      </c>
      <c r="B29" s="5">
        <v>1</v>
      </c>
      <c r="C29" s="129" t="s">
        <v>34</v>
      </c>
      <c r="D29" s="129" t="s">
        <v>26</v>
      </c>
      <c r="E29" s="41"/>
      <c r="F29" s="41"/>
      <c r="G29" s="129" t="s">
        <v>33</v>
      </c>
      <c r="H29" s="18"/>
      <c r="I29" s="18"/>
      <c r="J29" s="43"/>
      <c r="K29" s="39" t="s">
        <v>176</v>
      </c>
    </row>
    <row r="30" spans="1:11" ht="29.1" hidden="1">
      <c r="A30" s="130" t="s">
        <v>119</v>
      </c>
      <c r="B30" s="60">
        <v>1</v>
      </c>
      <c r="C30" s="129" t="s">
        <v>34</v>
      </c>
      <c r="D30" s="129" t="s">
        <v>26</v>
      </c>
      <c r="E30" s="41"/>
      <c r="F30" s="41"/>
      <c r="G30" s="130" t="s">
        <v>33</v>
      </c>
      <c r="H30" s="66"/>
      <c r="I30" s="66"/>
      <c r="J30" s="67" t="s">
        <v>121</v>
      </c>
      <c r="K30" s="68" t="s">
        <v>21</v>
      </c>
    </row>
    <row r="31" spans="1:11" hidden="1">
      <c r="A31" s="39" t="s">
        <v>122</v>
      </c>
      <c r="B31" s="61">
        <v>1</v>
      </c>
      <c r="C31" s="39" t="s">
        <v>34</v>
      </c>
      <c r="D31" s="62" t="s">
        <v>32</v>
      </c>
      <c r="E31" s="39"/>
      <c r="F31" s="39"/>
      <c r="G31" s="39" t="s">
        <v>25</v>
      </c>
      <c r="H31" s="39"/>
      <c r="I31" s="39"/>
      <c r="J31" s="128" t="s">
        <v>123</v>
      </c>
      <c r="K31" s="128" t="s">
        <v>22</v>
      </c>
    </row>
    <row r="32" spans="1:11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  <row r="1001" spans="4:4">
      <c r="D1001" s="1"/>
    </row>
    <row r="1002" spans="4:4">
      <c r="D1002" s="1"/>
    </row>
  </sheetData>
  <dataValidations count="3">
    <dataValidation type="list" allowBlank="1" showErrorMessage="1" sqref="G1:G31" xr:uid="{00000000-0002-0000-0100-000000000000}">
      <formula1>"BillingCenter,ClaimCenter,Conversion,Data,Datahub,DHIC,Digital,Integration,Migration,PolicyCenter,Portal,Print,Testing,Transition,Others"</formula1>
    </dataValidation>
    <dataValidation type="list" allowBlank="1" showErrorMessage="1" sqref="D1:D1002" xr:uid="{00000000-0002-0000-0100-000001000000}">
      <formula1>"Lead,Associate,Specialist"</formula1>
    </dataValidation>
    <dataValidation type="list" allowBlank="1" showErrorMessage="1" sqref="C2:C31" xr:uid="{00000000-0002-0000-0100-000002000000}">
      <formula1>"Dev,BA,QA"</formula1>
    </dataValidation>
  </dataValidations>
  <hyperlinks>
    <hyperlink ref="E5" r:id="rId1" xr:uid="{C01F5615-D755-4040-9C86-4F2DD232BFC9}"/>
    <hyperlink ref="E2" r:id="rId2" xr:uid="{ABEF9224-F6A7-42E4-A03A-4441661EAD40}"/>
    <hyperlink ref="E3" r:id="rId3" xr:uid="{D8C3F91F-1E31-4E16-B836-AB9B18DE6E1E}"/>
    <hyperlink ref="E6" r:id="rId4" xr:uid="{CA71CC6A-84E7-4018-9D63-C77577AF8509}"/>
    <hyperlink ref="E7" r:id="rId5" xr:uid="{5C7EDD51-FF72-4A45-9605-EFF76C651174}"/>
    <hyperlink ref="E8" r:id="rId6" xr:uid="{B8DF1E41-3F7E-4335-967B-B48B7A0AF413}"/>
    <hyperlink ref="E9" r:id="rId7" xr:uid="{79EFA9B7-3211-44DF-953C-6FFF49277125}"/>
    <hyperlink ref="E10" r:id="rId8" xr:uid="{234402DD-664F-415A-AD74-5DB71C58FFD6}"/>
    <hyperlink ref="E11" r:id="rId9" xr:uid="{EA265431-045E-4B44-9621-D971B6B42CDD}"/>
    <hyperlink ref="E12" r:id="rId10" xr:uid="{E00FEE4B-6563-4966-8A0C-D5596DE803EF}"/>
    <hyperlink ref="E13" r:id="rId11" xr:uid="{D60B644E-D094-4827-B34D-58C93EA66CCC}"/>
    <hyperlink ref="E14" r:id="rId12" xr:uid="{C1465621-D99D-490A-BAEB-B7CC471ACB13}"/>
    <hyperlink ref="E15" r:id="rId13" xr:uid="{A249F2D4-2E39-4150-B658-71646BA47FA3}"/>
    <hyperlink ref="E18" r:id="rId14" xr:uid="{E1998A29-9C12-4926-8EDA-9C1362E02E10}"/>
    <hyperlink ref="E16" r:id="rId15" xr:uid="{A3D03E5A-FFE8-4BE0-A488-9406BB795708}"/>
    <hyperlink ref="E4" r:id="rId16" xr:uid="{FCF1349F-20F3-46E4-AD8F-461AE479C94F}"/>
    <hyperlink ref="E17" r:id="rId17" xr:uid="{DC030544-32CC-4B78-BE10-73E607517CA2}"/>
    <hyperlink ref="E21" r:id="rId18" xr:uid="{F878EFCC-9B7B-43EA-9425-A10FA7880662}"/>
    <hyperlink ref="E22" r:id="rId19" xr:uid="{90EF37AC-6E97-44EA-B7FC-A351C9558900}"/>
    <hyperlink ref="E19" r:id="rId20" xr:uid="{AF9C8F69-3912-4DBF-9E45-CC93E3F03572}"/>
    <hyperlink ref="E20" r:id="rId21" xr:uid="{D5BD44C4-D71B-4CDD-BE24-06339193E2B9}"/>
  </hyperlinks>
  <pageMargins left="0.7" right="0.7" top="0.75" bottom="0.75" header="0" footer="0"/>
  <pageSetup paperSize="9" orientation="portrait" r:id="rId22"/>
  <tableParts count="1">
    <tablePart r:id="rId2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31D3-BA36-42E8-87E4-43DD174D792D}">
  <dimension ref="A1:K30"/>
  <sheetViews>
    <sheetView topLeftCell="A26" zoomScale="90" zoomScaleNormal="90" workbookViewId="0">
      <selection activeCell="K37" sqref="K37"/>
    </sheetView>
  </sheetViews>
  <sheetFormatPr defaultColWidth="8.5703125" defaultRowHeight="12.95"/>
  <cols>
    <col min="1" max="1" width="23.42578125" style="48" customWidth="1"/>
    <col min="2" max="2" width="0" style="48" hidden="1" customWidth="1"/>
    <col min="3" max="4" width="8.5703125" style="48"/>
    <col min="5" max="5" width="42.42578125" style="48" hidden="1" customWidth="1"/>
    <col min="6" max="6" width="8.5703125" style="48" hidden="1" customWidth="1"/>
    <col min="7" max="7" width="18.42578125" style="48" customWidth="1"/>
    <col min="8" max="9" width="21.85546875" style="48" hidden="1" customWidth="1"/>
    <col min="10" max="10" width="59.85546875" style="48" customWidth="1"/>
    <col min="11" max="11" width="62.140625" style="48" customWidth="1"/>
    <col min="12" max="16384" width="8.5703125" style="48"/>
  </cols>
  <sheetData>
    <row r="1" spans="1:11">
      <c r="A1" s="45" t="s">
        <v>140</v>
      </c>
      <c r="B1" s="45" t="s">
        <v>141</v>
      </c>
      <c r="C1" s="45" t="s">
        <v>19</v>
      </c>
      <c r="D1" s="45" t="s">
        <v>20</v>
      </c>
      <c r="E1" s="45" t="s">
        <v>142</v>
      </c>
      <c r="F1" s="45" t="s">
        <v>143</v>
      </c>
      <c r="G1" s="45" t="s">
        <v>144</v>
      </c>
      <c r="H1" s="46" t="s">
        <v>145</v>
      </c>
      <c r="I1" s="46" t="s">
        <v>146</v>
      </c>
      <c r="J1" s="47" t="s">
        <v>147</v>
      </c>
      <c r="K1" s="57" t="s">
        <v>177</v>
      </c>
    </row>
    <row r="2" spans="1:11" ht="26.1">
      <c r="A2" s="50" t="s">
        <v>178</v>
      </c>
      <c r="B2" s="49">
        <v>1</v>
      </c>
      <c r="C2" s="50"/>
      <c r="D2" s="51"/>
      <c r="E2" s="52" t="s">
        <v>179</v>
      </c>
      <c r="F2" s="52"/>
      <c r="G2" s="53" t="s">
        <v>127</v>
      </c>
      <c r="H2" s="54"/>
      <c r="I2" s="55"/>
      <c r="J2" s="56" t="s">
        <v>101</v>
      </c>
      <c r="K2" s="58" t="s">
        <v>180</v>
      </c>
    </row>
    <row r="3" spans="1:11" ht="26.1">
      <c r="A3" s="50" t="s">
        <v>181</v>
      </c>
      <c r="B3" s="49"/>
      <c r="C3" s="50"/>
      <c r="D3" s="51"/>
      <c r="E3" s="52" t="s">
        <v>182</v>
      </c>
      <c r="F3" s="52"/>
      <c r="G3" s="53" t="s">
        <v>127</v>
      </c>
      <c r="H3" s="54"/>
      <c r="I3" s="55"/>
      <c r="J3" s="56" t="s">
        <v>183</v>
      </c>
      <c r="K3" s="58" t="s">
        <v>184</v>
      </c>
    </row>
    <row r="4" spans="1:11">
      <c r="A4" s="50" t="s">
        <v>185</v>
      </c>
      <c r="B4" s="49"/>
      <c r="C4" s="50"/>
      <c r="D4" s="51"/>
      <c r="E4" s="52" t="s">
        <v>168</v>
      </c>
      <c r="F4" s="52"/>
      <c r="G4" s="53" t="s">
        <v>127</v>
      </c>
      <c r="H4" s="54"/>
      <c r="I4" s="55"/>
      <c r="J4" s="56" t="s">
        <v>101</v>
      </c>
      <c r="K4" s="58" t="s">
        <v>186</v>
      </c>
    </row>
    <row r="5" spans="1:11">
      <c r="A5" s="50" t="s">
        <v>187</v>
      </c>
      <c r="B5" s="49"/>
      <c r="C5" s="50"/>
      <c r="D5" s="51"/>
      <c r="E5" s="52" t="s">
        <v>188</v>
      </c>
      <c r="F5" s="52"/>
      <c r="G5" s="53" t="s">
        <v>127</v>
      </c>
      <c r="H5" s="54"/>
      <c r="I5" s="55"/>
      <c r="J5" s="56" t="s">
        <v>101</v>
      </c>
      <c r="K5" s="58" t="s">
        <v>186</v>
      </c>
    </row>
    <row r="6" spans="1:11" ht="26.1">
      <c r="A6" s="50" t="s">
        <v>189</v>
      </c>
      <c r="B6" s="49"/>
      <c r="C6" s="50"/>
      <c r="D6" s="51"/>
      <c r="E6" s="52" t="s">
        <v>190</v>
      </c>
      <c r="F6" s="52"/>
      <c r="G6" s="53" t="s">
        <v>127</v>
      </c>
      <c r="H6" s="54"/>
      <c r="I6" s="55"/>
      <c r="J6" s="56" t="s">
        <v>101</v>
      </c>
      <c r="K6" s="58" t="s">
        <v>191</v>
      </c>
    </row>
    <row r="7" spans="1:11" ht="26.1">
      <c r="A7" s="50" t="s">
        <v>192</v>
      </c>
      <c r="B7" s="49"/>
      <c r="C7" s="50"/>
      <c r="D7" s="51"/>
      <c r="E7" s="52" t="s">
        <v>193</v>
      </c>
      <c r="F7" s="52"/>
      <c r="G7" s="53" t="s">
        <v>127</v>
      </c>
      <c r="H7" s="54"/>
      <c r="I7" s="55"/>
      <c r="J7" s="56" t="s">
        <v>101</v>
      </c>
      <c r="K7" s="58" t="s">
        <v>191</v>
      </c>
    </row>
    <row r="8" spans="1:11">
      <c r="A8" s="50" t="s">
        <v>194</v>
      </c>
      <c r="B8" s="49"/>
      <c r="C8" s="50"/>
      <c r="D8" s="51"/>
      <c r="E8" s="52" t="s">
        <v>195</v>
      </c>
      <c r="F8" s="52"/>
      <c r="G8" s="53" t="s">
        <v>127</v>
      </c>
      <c r="H8" s="54"/>
      <c r="I8" s="55"/>
      <c r="J8" s="56" t="s">
        <v>196</v>
      </c>
      <c r="K8" s="58" t="s">
        <v>184</v>
      </c>
    </row>
    <row r="9" spans="1:11">
      <c r="A9" s="50" t="s">
        <v>197</v>
      </c>
      <c r="B9" s="49"/>
      <c r="C9" s="50"/>
      <c r="D9" s="51"/>
      <c r="E9" s="52" t="s">
        <v>198</v>
      </c>
      <c r="F9" s="52"/>
      <c r="G9" s="53" t="s">
        <v>127</v>
      </c>
      <c r="H9" s="54"/>
      <c r="I9" s="55"/>
      <c r="J9" s="56" t="s">
        <v>101</v>
      </c>
      <c r="K9" s="58" t="s">
        <v>199</v>
      </c>
    </row>
    <row r="10" spans="1:11" ht="51.95">
      <c r="A10" s="50" t="s">
        <v>200</v>
      </c>
      <c r="B10" s="49"/>
      <c r="C10" s="50"/>
      <c r="D10" s="51"/>
      <c r="E10" s="52" t="s">
        <v>201</v>
      </c>
      <c r="F10" s="52"/>
      <c r="G10" s="53" t="s">
        <v>127</v>
      </c>
      <c r="H10" s="54"/>
      <c r="I10" s="55"/>
      <c r="J10" s="56" t="s">
        <v>101</v>
      </c>
      <c r="K10" s="58" t="s">
        <v>202</v>
      </c>
    </row>
    <row r="11" spans="1:11">
      <c r="A11" s="50" t="s">
        <v>203</v>
      </c>
      <c r="B11" s="49"/>
      <c r="C11" s="50"/>
      <c r="D11" s="51"/>
      <c r="E11" s="52" t="s">
        <v>204</v>
      </c>
      <c r="F11" s="52"/>
      <c r="G11" s="53" t="s">
        <v>127</v>
      </c>
      <c r="H11" s="54"/>
      <c r="I11" s="55"/>
      <c r="J11" s="56" t="s">
        <v>101</v>
      </c>
      <c r="K11" s="58" t="s">
        <v>184</v>
      </c>
    </row>
    <row r="12" spans="1:11">
      <c r="A12" s="50" t="s">
        <v>205</v>
      </c>
      <c r="B12" s="49"/>
      <c r="C12" s="50"/>
      <c r="D12" s="51"/>
      <c r="E12" s="52" t="s">
        <v>206</v>
      </c>
      <c r="F12" s="52"/>
      <c r="G12" s="53" t="s">
        <v>127</v>
      </c>
      <c r="H12" s="54"/>
      <c r="I12" s="55"/>
      <c r="J12" s="56" t="s">
        <v>101</v>
      </c>
      <c r="K12" s="58" t="s">
        <v>186</v>
      </c>
    </row>
    <row r="13" spans="1:11">
      <c r="A13" s="50" t="s">
        <v>207</v>
      </c>
      <c r="B13" s="49"/>
      <c r="C13" s="50"/>
      <c r="D13" s="51"/>
      <c r="E13" s="52" t="s">
        <v>208</v>
      </c>
      <c r="F13" s="52"/>
      <c r="G13" s="53" t="s">
        <v>127</v>
      </c>
      <c r="H13" s="54"/>
      <c r="I13" s="55"/>
      <c r="J13" s="56" t="s">
        <v>101</v>
      </c>
      <c r="K13" s="58" t="s">
        <v>186</v>
      </c>
    </row>
    <row r="14" spans="1:11">
      <c r="A14" s="50" t="s">
        <v>209</v>
      </c>
      <c r="B14" s="49"/>
      <c r="C14" s="50"/>
      <c r="D14" s="51"/>
      <c r="E14" s="52" t="s">
        <v>210</v>
      </c>
      <c r="F14" s="52"/>
      <c r="G14" s="53" t="s">
        <v>127</v>
      </c>
      <c r="H14" s="54"/>
      <c r="I14" s="55"/>
      <c r="J14" s="56" t="s">
        <v>211</v>
      </c>
      <c r="K14" s="58" t="s">
        <v>212</v>
      </c>
    </row>
    <row r="15" spans="1:11">
      <c r="A15" s="50" t="s">
        <v>213</v>
      </c>
      <c r="B15" s="49"/>
      <c r="C15" s="50"/>
      <c r="D15" s="51"/>
      <c r="E15" s="52" t="s">
        <v>214</v>
      </c>
      <c r="F15" s="52"/>
      <c r="G15" s="53" t="s">
        <v>127</v>
      </c>
      <c r="H15" s="54"/>
      <c r="I15" s="55"/>
      <c r="J15" s="56" t="s">
        <v>211</v>
      </c>
      <c r="K15" s="58" t="s">
        <v>212</v>
      </c>
    </row>
    <row r="16" spans="1:11">
      <c r="A16" s="50" t="s">
        <v>215</v>
      </c>
      <c r="B16" s="49"/>
      <c r="C16" s="50"/>
      <c r="D16" s="51"/>
      <c r="E16" s="52" t="s">
        <v>216</v>
      </c>
      <c r="F16" s="52"/>
      <c r="G16" s="53" t="s">
        <v>127</v>
      </c>
      <c r="H16" s="54"/>
      <c r="I16" s="55"/>
      <c r="J16" s="56" t="s">
        <v>211</v>
      </c>
      <c r="K16" s="58" t="s">
        <v>212</v>
      </c>
    </row>
    <row r="17" spans="1:11">
      <c r="A17" s="50" t="s">
        <v>114</v>
      </c>
      <c r="B17" s="49"/>
      <c r="C17" s="50"/>
      <c r="D17" s="51"/>
      <c r="E17" s="52" t="s">
        <v>217</v>
      </c>
      <c r="F17" s="52"/>
      <c r="G17" s="53" t="s">
        <v>127</v>
      </c>
      <c r="H17" s="54"/>
      <c r="I17" s="55"/>
      <c r="J17" s="56" t="s">
        <v>101</v>
      </c>
      <c r="K17" s="58" t="s">
        <v>218</v>
      </c>
    </row>
    <row r="18" spans="1:11">
      <c r="A18" s="50" t="s">
        <v>219</v>
      </c>
      <c r="B18" s="49"/>
      <c r="C18" s="50"/>
      <c r="D18" s="51"/>
      <c r="E18" s="52" t="s">
        <v>220</v>
      </c>
      <c r="F18" s="52"/>
      <c r="G18" s="53" t="s">
        <v>127</v>
      </c>
      <c r="H18" s="54"/>
      <c r="I18" s="55"/>
      <c r="J18" s="56" t="s">
        <v>211</v>
      </c>
      <c r="K18" s="58" t="s">
        <v>212</v>
      </c>
    </row>
    <row r="19" spans="1:11" ht="39">
      <c r="A19" s="50" t="s">
        <v>221</v>
      </c>
      <c r="B19" s="49"/>
      <c r="C19" s="50"/>
      <c r="D19" s="51"/>
      <c r="E19" s="52" t="s">
        <v>222</v>
      </c>
      <c r="F19" s="52"/>
      <c r="G19" s="53" t="s">
        <v>127</v>
      </c>
      <c r="H19" s="54"/>
      <c r="I19" s="55"/>
      <c r="J19" s="56" t="s">
        <v>196</v>
      </c>
      <c r="K19" s="58" t="s">
        <v>223</v>
      </c>
    </row>
    <row r="20" spans="1:11" ht="26.1">
      <c r="A20" s="50" t="s">
        <v>224</v>
      </c>
      <c r="B20" s="49"/>
      <c r="C20" s="50"/>
      <c r="D20" s="51"/>
      <c r="E20" s="52" t="s">
        <v>225</v>
      </c>
      <c r="F20" s="52"/>
      <c r="G20" s="53" t="s">
        <v>127</v>
      </c>
      <c r="H20" s="54"/>
      <c r="I20" s="55"/>
      <c r="J20" s="56" t="s">
        <v>226</v>
      </c>
      <c r="K20" s="58" t="s">
        <v>227</v>
      </c>
    </row>
    <row r="21" spans="1:11">
      <c r="A21" s="50" t="s">
        <v>228</v>
      </c>
      <c r="B21" s="49"/>
      <c r="C21" s="50"/>
      <c r="D21" s="51"/>
      <c r="E21" s="52" t="s">
        <v>229</v>
      </c>
      <c r="F21" s="52"/>
      <c r="G21" s="53" t="s">
        <v>127</v>
      </c>
      <c r="H21" s="54"/>
      <c r="I21" s="55"/>
      <c r="J21" s="56" t="s">
        <v>101</v>
      </c>
      <c r="K21" s="58" t="s">
        <v>218</v>
      </c>
    </row>
    <row r="22" spans="1:11">
      <c r="A22" s="50" t="s">
        <v>230</v>
      </c>
      <c r="B22" s="49"/>
      <c r="C22" s="50"/>
      <c r="D22" s="51"/>
      <c r="E22" s="52" t="s">
        <v>231</v>
      </c>
      <c r="F22" s="52"/>
      <c r="G22" s="53" t="s">
        <v>127</v>
      </c>
      <c r="H22" s="54"/>
      <c r="I22" s="55"/>
      <c r="J22" s="56" t="s">
        <v>101</v>
      </c>
      <c r="K22" s="58" t="s">
        <v>218</v>
      </c>
    </row>
    <row r="23" spans="1:11">
      <c r="A23" s="50" t="s">
        <v>232</v>
      </c>
      <c r="B23" s="49"/>
      <c r="C23" s="50"/>
      <c r="D23" s="51"/>
      <c r="E23" s="52" t="s">
        <v>233</v>
      </c>
      <c r="F23" s="52"/>
      <c r="G23" s="53" t="s">
        <v>127</v>
      </c>
      <c r="H23" s="54"/>
      <c r="I23" s="55"/>
      <c r="J23" s="56" t="s">
        <v>101</v>
      </c>
      <c r="K23" s="58" t="s">
        <v>186</v>
      </c>
    </row>
    <row r="24" spans="1:11" ht="14.45">
      <c r="A24" s="50" t="s">
        <v>234</v>
      </c>
      <c r="B24" s="49"/>
      <c r="C24" s="50"/>
      <c r="D24" s="51"/>
      <c r="E24" s="52" t="s">
        <v>165</v>
      </c>
      <c r="F24" s="52"/>
      <c r="G24" s="53" t="s">
        <v>127</v>
      </c>
      <c r="H24" s="54"/>
      <c r="I24" s="55"/>
      <c r="J24" s="131" t="s">
        <v>99</v>
      </c>
      <c r="K24" s="58"/>
    </row>
    <row r="25" spans="1:11">
      <c r="A25" s="50" t="s">
        <v>235</v>
      </c>
      <c r="B25" s="49"/>
      <c r="C25" s="50"/>
      <c r="D25" s="51"/>
      <c r="E25" s="52" t="s">
        <v>236</v>
      </c>
      <c r="F25" s="52"/>
      <c r="G25" s="53" t="s">
        <v>127</v>
      </c>
      <c r="H25" s="54"/>
      <c r="I25" s="55"/>
      <c r="J25" s="56" t="s">
        <v>196</v>
      </c>
      <c r="K25" s="58" t="s">
        <v>186</v>
      </c>
    </row>
    <row r="26" spans="1:11" ht="39">
      <c r="A26" s="50" t="s">
        <v>237</v>
      </c>
      <c r="B26" s="49"/>
      <c r="C26" s="50"/>
      <c r="D26" s="51"/>
      <c r="E26" s="52" t="s">
        <v>238</v>
      </c>
      <c r="F26" s="52"/>
      <c r="G26" s="53" t="s">
        <v>127</v>
      </c>
      <c r="H26" s="54"/>
      <c r="I26" s="55"/>
      <c r="J26" s="56" t="s">
        <v>239</v>
      </c>
      <c r="K26" s="58" t="s">
        <v>240</v>
      </c>
    </row>
    <row r="27" spans="1:11" ht="39">
      <c r="A27" s="50" t="s">
        <v>241</v>
      </c>
      <c r="B27" s="49"/>
      <c r="C27" s="50"/>
      <c r="D27" s="51"/>
      <c r="E27" s="52" t="s">
        <v>242</v>
      </c>
      <c r="F27" s="52"/>
      <c r="G27" s="53" t="s">
        <v>127</v>
      </c>
      <c r="H27" s="54"/>
      <c r="I27" s="55"/>
      <c r="J27" s="56" t="s">
        <v>239</v>
      </c>
      <c r="K27" s="58" t="s">
        <v>240</v>
      </c>
    </row>
    <row r="28" spans="1:11" ht="39">
      <c r="A28" s="50" t="s">
        <v>243</v>
      </c>
      <c r="B28" s="49"/>
      <c r="C28" s="50"/>
      <c r="D28" s="51"/>
      <c r="E28" s="52" t="s">
        <v>244</v>
      </c>
      <c r="F28" s="52"/>
      <c r="G28" s="53" t="s">
        <v>127</v>
      </c>
      <c r="H28" s="54"/>
      <c r="I28" s="55"/>
      <c r="J28" s="56" t="s">
        <v>239</v>
      </c>
      <c r="K28" s="58" t="s">
        <v>240</v>
      </c>
    </row>
    <row r="29" spans="1:11" ht="39">
      <c r="A29" s="50" t="s">
        <v>245</v>
      </c>
      <c r="B29" s="49"/>
      <c r="C29" s="50"/>
      <c r="D29" s="51"/>
      <c r="E29" s="52" t="s">
        <v>246</v>
      </c>
      <c r="F29" s="52"/>
      <c r="G29" s="53" t="s">
        <v>127</v>
      </c>
      <c r="H29" s="54"/>
      <c r="I29" s="55"/>
      <c r="J29" s="56" t="s">
        <v>247</v>
      </c>
      <c r="K29" s="58" t="s">
        <v>184</v>
      </c>
    </row>
    <row r="30" spans="1:11">
      <c r="A30" s="50" t="s">
        <v>248</v>
      </c>
      <c r="B30" s="49"/>
      <c r="C30" s="50"/>
      <c r="D30" s="51"/>
      <c r="E30" s="52" t="s">
        <v>249</v>
      </c>
      <c r="F30" s="52"/>
      <c r="G30" s="53" t="s">
        <v>127</v>
      </c>
      <c r="H30" s="54"/>
      <c r="I30" s="55"/>
      <c r="J30" s="56" t="s">
        <v>101</v>
      </c>
      <c r="K30" s="58" t="s">
        <v>186</v>
      </c>
    </row>
  </sheetData>
  <autoFilter ref="A1:K30" xr:uid="{41A431D3-BA36-42E8-87E4-43DD174D792D}"/>
  <dataValidations count="3">
    <dataValidation type="list" allowBlank="1" showErrorMessage="1" sqref="C2" xr:uid="{066FAFE1-5D41-49E7-B09F-5569880A87FA}">
      <formula1>"Dev,BA,QA"</formula1>
    </dataValidation>
    <dataValidation type="list" allowBlank="1" showErrorMessage="1" sqref="D1:D2" xr:uid="{D9C5C340-DFFC-49FA-B9A1-218FABC572C6}">
      <formula1>"Lead,Associate,Specialist"</formula1>
    </dataValidation>
    <dataValidation type="list" allowBlank="1" showErrorMessage="1" sqref="G1:G30" xr:uid="{AFCCD7C9-59ED-4D48-A65B-0CBA3EF1DE9A}">
      <formula1>"BillingCenter,ClaimCenter,Conversion,Data,Datahub,DHIC,Digital,Integration,Migration,PolicyCenter,Portal,Print,Testing,Transition,Others"</formula1>
    </dataValidation>
  </dataValidations>
  <hyperlinks>
    <hyperlink ref="E2" r:id="rId1" xr:uid="{7A3A083E-D457-49DD-8FDA-251C4E7B3C83}"/>
    <hyperlink ref="E9" r:id="rId2" xr:uid="{39ABC3BF-8C69-43D8-B486-C75CDA9D4BE6}"/>
    <hyperlink ref="E10" r:id="rId3" display="vikas.boppidi@capgemini.com" xr:uid="{CF640807-6B32-4794-BED9-73EEC88EBE33}"/>
    <hyperlink ref="E17" r:id="rId4" tooltip="mailto:stuart.jerome@capgemini.com" display="mailto:stuart.jerome@capgemini.com" xr:uid="{C0174F0F-3048-4648-AB7F-14F90DDF73A5}"/>
    <hyperlink ref="E24" r:id="rId5" display="mailto:kharidu.kalyan@capgemini.com" xr:uid="{CA18AC96-5192-4BCE-8ABC-53906B2A2B0F}"/>
    <hyperlink ref="E26" r:id="rId6" display="mailto:dasari.venkatesh@capgemini.com" xr:uid="{CD284BF4-7B8A-4C78-A5DE-C69ED0E1BCC3}"/>
    <hyperlink ref="E27" r:id="rId7" display="mailto:megala.kasiviswanathan@capgemini.com" xr:uid="{7D3F66E6-1450-4D72-A835-5664B2289975}"/>
    <hyperlink ref="E28" r:id="rId8" display="venkata-satya-datta-sai.vaddi@capgemini.com" xr:uid="{7CE81547-0147-4464-8BDC-B16FF6664704}"/>
    <hyperlink ref="E29" r:id="rId9" display="telidela.kishore@capgemini.com" xr:uid="{C9B7DBAF-4DCB-46B8-B4FB-6E3510BB02BE}"/>
    <hyperlink ref="E23" r:id="rId10" xr:uid="{0E2F9057-1505-4E5A-BB80-1ACA6212DF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E15" sqref="E15"/>
    </sheetView>
  </sheetViews>
  <sheetFormatPr defaultColWidth="14.42578125" defaultRowHeight="15" customHeight="1"/>
  <cols>
    <col min="1" max="1" width="23.42578125" bestFit="1" customWidth="1"/>
    <col min="2" max="2" width="29.42578125" customWidth="1"/>
    <col min="3" max="3" width="40.42578125" bestFit="1" customWidth="1"/>
  </cols>
  <sheetData>
    <row r="1" spans="1:3" ht="15" customHeight="1">
      <c r="A1" s="27" t="s">
        <v>59</v>
      </c>
      <c r="B1" s="27" t="s">
        <v>250</v>
      </c>
      <c r="C1" s="27" t="s">
        <v>251</v>
      </c>
    </row>
    <row r="2" spans="1:3" ht="15" customHeight="1">
      <c r="A2" s="23" t="s">
        <v>70</v>
      </c>
      <c r="B2" s="25" t="s">
        <v>252</v>
      </c>
      <c r="C2" s="25" t="s">
        <v>149</v>
      </c>
    </row>
    <row r="3" spans="1:3" ht="15" customHeight="1">
      <c r="A3" s="23" t="s">
        <v>73</v>
      </c>
      <c r="B3" s="25" t="s">
        <v>253</v>
      </c>
      <c r="C3" s="25" t="s">
        <v>150</v>
      </c>
    </row>
    <row r="4" spans="1:3" ht="15" customHeight="1">
      <c r="A4" s="24" t="s">
        <v>76</v>
      </c>
      <c r="B4" s="25" t="s">
        <v>254</v>
      </c>
      <c r="C4" s="26" t="s">
        <v>151</v>
      </c>
    </row>
    <row r="5" spans="1:3" ht="15" customHeight="1">
      <c r="A5" s="23" t="s">
        <v>79</v>
      </c>
      <c r="B5" s="25" t="s">
        <v>255</v>
      </c>
      <c r="C5" s="25" t="s">
        <v>152</v>
      </c>
    </row>
    <row r="6" spans="1:3" ht="15" customHeight="1">
      <c r="A6" s="23" t="s">
        <v>153</v>
      </c>
      <c r="B6" s="25" t="s">
        <v>256</v>
      </c>
      <c r="C6" s="25" t="s">
        <v>154</v>
      </c>
    </row>
    <row r="7" spans="1:3" ht="15" customHeight="1">
      <c r="A7" s="23" t="s">
        <v>81</v>
      </c>
      <c r="B7" s="25" t="s">
        <v>257</v>
      </c>
      <c r="C7" s="25" t="s">
        <v>156</v>
      </c>
    </row>
    <row r="8" spans="1:3" ht="15" customHeight="1">
      <c r="A8" s="23" t="s">
        <v>85</v>
      </c>
      <c r="B8" s="25" t="s">
        <v>258</v>
      </c>
      <c r="C8" s="25" t="s">
        <v>157</v>
      </c>
    </row>
    <row r="9" spans="1:3" ht="15" customHeight="1">
      <c r="A9" s="23" t="s">
        <v>88</v>
      </c>
      <c r="B9" s="25" t="s">
        <v>259</v>
      </c>
      <c r="C9" s="25" t="s">
        <v>158</v>
      </c>
    </row>
    <row r="10" spans="1:3" ht="15" customHeight="1">
      <c r="A10" s="23" t="s">
        <v>92</v>
      </c>
      <c r="B10" s="25" t="s">
        <v>260</v>
      </c>
      <c r="C10" s="25" t="s">
        <v>160</v>
      </c>
    </row>
    <row r="11" spans="1:3" ht="15" customHeight="1">
      <c r="A11" s="28" t="s">
        <v>94</v>
      </c>
      <c r="B11" s="25" t="s">
        <v>261</v>
      </c>
      <c r="C11" s="26" t="s">
        <v>161</v>
      </c>
    </row>
    <row r="12" spans="1:3" ht="15" customHeight="1">
      <c r="A12" s="28" t="s">
        <v>95</v>
      </c>
      <c r="B12" s="25" t="s">
        <v>262</v>
      </c>
      <c r="C12" s="26" t="s">
        <v>162</v>
      </c>
    </row>
    <row r="13" spans="1:3" ht="15" customHeight="1">
      <c r="A13" s="23" t="s">
        <v>163</v>
      </c>
      <c r="B13" s="25" t="s">
        <v>263</v>
      </c>
      <c r="C13" s="25" t="s">
        <v>164</v>
      </c>
    </row>
    <row r="14" spans="1:3" ht="15" customHeight="1">
      <c r="A14" s="23" t="s">
        <v>97</v>
      </c>
      <c r="B14" s="25" t="s">
        <v>264</v>
      </c>
      <c r="C14" s="25" t="s">
        <v>165</v>
      </c>
    </row>
    <row r="15" spans="1:3" ht="15" customHeight="1">
      <c r="A15" s="23" t="s">
        <v>166</v>
      </c>
      <c r="B15" s="25" t="s">
        <v>265</v>
      </c>
      <c r="C15" s="25" t="s">
        <v>167</v>
      </c>
    </row>
    <row r="16" spans="1:3" ht="15" customHeight="1">
      <c r="A16" s="24" t="s">
        <v>100</v>
      </c>
      <c r="B16" s="25" t="s">
        <v>266</v>
      </c>
      <c r="C16" s="26" t="s">
        <v>168</v>
      </c>
    </row>
    <row r="17" spans="1:3" ht="15" customHeight="1">
      <c r="A17" s="24" t="s">
        <v>102</v>
      </c>
      <c r="B17" s="25" t="s">
        <v>267</v>
      </c>
      <c r="C17" s="26" t="s">
        <v>169</v>
      </c>
    </row>
    <row r="18" spans="1:3" ht="15" customHeight="1">
      <c r="A18" s="23" t="s">
        <v>105</v>
      </c>
      <c r="B18" s="25" t="s">
        <v>268</v>
      </c>
      <c r="C18" s="25" t="s">
        <v>170</v>
      </c>
    </row>
    <row r="19" spans="1:3" ht="15" customHeight="1">
      <c r="A19" s="32" t="s">
        <v>269</v>
      </c>
      <c r="B19" s="33" t="s">
        <v>270</v>
      </c>
      <c r="C19" s="34" t="s">
        <v>173</v>
      </c>
    </row>
    <row r="20" spans="1:3" ht="15" customHeight="1">
      <c r="A20" s="32" t="s">
        <v>110</v>
      </c>
      <c r="B20" s="33" t="s">
        <v>270</v>
      </c>
      <c r="C20" s="34" t="s">
        <v>174</v>
      </c>
    </row>
    <row r="21" spans="1:3" ht="15" customHeight="1">
      <c r="A21" s="35" t="s">
        <v>111</v>
      </c>
      <c r="B21" s="33" t="s">
        <v>270</v>
      </c>
      <c r="C21" s="34" t="s">
        <v>175</v>
      </c>
    </row>
    <row r="22" spans="1:3" ht="15" customHeight="1">
      <c r="A22" s="10"/>
      <c r="B22" s="10"/>
      <c r="C22" s="10"/>
    </row>
    <row r="23" spans="1:3" ht="15" customHeight="1">
      <c r="A23" s="10"/>
      <c r="B23" s="10"/>
      <c r="C23" s="10"/>
    </row>
    <row r="24" spans="1:3" ht="15" customHeight="1">
      <c r="A24" s="10"/>
      <c r="B24" s="10"/>
      <c r="C24" s="10"/>
    </row>
    <row r="25" spans="1:3" ht="15" customHeight="1">
      <c r="A25" s="10"/>
      <c r="B25" s="10"/>
      <c r="C25" s="10"/>
    </row>
    <row r="26" spans="1:3" ht="14.45">
      <c r="A26" s="10"/>
      <c r="B26" s="10"/>
      <c r="C26" s="10"/>
    </row>
    <row r="27" spans="1:3" ht="14.45">
      <c r="A27" s="10"/>
      <c r="B27" s="10"/>
      <c r="C27" s="10"/>
    </row>
    <row r="28" spans="1:3" ht="14.45">
      <c r="A28" s="10"/>
      <c r="B28" s="10"/>
      <c r="C28" s="10"/>
    </row>
    <row r="29" spans="1:3" ht="14.45">
      <c r="A29" s="10"/>
      <c r="B29" s="10"/>
      <c r="C29" s="10"/>
    </row>
    <row r="30" spans="1:3" ht="14.45">
      <c r="A30" s="10"/>
      <c r="B30" s="10"/>
      <c r="C30" s="10"/>
    </row>
    <row r="31" spans="1:3" ht="14.45">
      <c r="A31" s="10"/>
      <c r="B31" s="10"/>
      <c r="C31" s="10"/>
    </row>
    <row r="32" spans="1:3" ht="14.45">
      <c r="A32" s="10"/>
      <c r="B32" s="10"/>
      <c r="C32" s="10"/>
    </row>
    <row r="33" spans="1:3" ht="14.45">
      <c r="A33" s="10"/>
      <c r="B33" s="10"/>
      <c r="C33" s="10"/>
    </row>
    <row r="34" spans="1:3" ht="14.45">
      <c r="A34" s="10"/>
      <c r="B34" s="10"/>
      <c r="C34" s="10"/>
    </row>
    <row r="35" spans="1:3" ht="14.45">
      <c r="A35" s="10"/>
      <c r="B35" s="10"/>
      <c r="C35" s="10"/>
    </row>
    <row r="36" spans="1:3" ht="14.45">
      <c r="A36" s="10"/>
      <c r="B36" s="10"/>
      <c r="C36" s="10"/>
    </row>
    <row r="37" spans="1:3" ht="14.45">
      <c r="A37" s="10"/>
      <c r="B37" s="10"/>
      <c r="C37" s="10"/>
    </row>
    <row r="38" spans="1:3" ht="14.45">
      <c r="A38" s="10"/>
      <c r="B38" s="10"/>
      <c r="C38" s="10"/>
    </row>
    <row r="39" spans="1:3" ht="14.45">
      <c r="A39" s="10"/>
      <c r="B39" s="10"/>
      <c r="C39" s="10"/>
    </row>
    <row r="40" spans="1:3" ht="14.45">
      <c r="A40" s="10"/>
      <c r="B40" s="10"/>
      <c r="C40" s="10"/>
    </row>
    <row r="41" spans="1:3" ht="14.45">
      <c r="A41" s="10"/>
      <c r="B41" s="10"/>
      <c r="C41" s="10"/>
    </row>
    <row r="42" spans="1:3" ht="14.45">
      <c r="A42" s="10"/>
      <c r="B42" s="10"/>
      <c r="C42" s="10"/>
    </row>
    <row r="43" spans="1:3" ht="14.45">
      <c r="A43" s="10"/>
      <c r="B43" s="10"/>
      <c r="C43" s="10"/>
    </row>
    <row r="44" spans="1:3" ht="14.45">
      <c r="A44" s="10"/>
      <c r="B44" s="10"/>
      <c r="C44" s="10"/>
    </row>
    <row r="45" spans="1:3" ht="14.45">
      <c r="A45" s="11"/>
      <c r="B45" s="11"/>
      <c r="C45" s="11"/>
    </row>
    <row r="46" spans="1:3" ht="14.45">
      <c r="A46" s="12"/>
      <c r="B46" s="12"/>
      <c r="C46" s="12"/>
    </row>
    <row r="47" spans="1:3" ht="14.45">
      <c r="A47" s="12"/>
      <c r="B47" s="12"/>
      <c r="C47" s="12"/>
    </row>
    <row r="48" spans="1:3" ht="14.45">
      <c r="A48" s="12"/>
      <c r="B48" s="12"/>
      <c r="C48" s="12"/>
    </row>
    <row r="49" spans="1:3" ht="14.45">
      <c r="A49" s="12"/>
      <c r="B49" s="12"/>
      <c r="C49" s="12"/>
    </row>
    <row r="50" spans="1:3" ht="14.45">
      <c r="A50" s="12"/>
      <c r="B50" s="12"/>
      <c r="C50" s="12"/>
    </row>
    <row r="51" spans="1:3" ht="14.45">
      <c r="A51" s="12"/>
      <c r="B51" s="12"/>
      <c r="C51" s="12"/>
    </row>
    <row r="52" spans="1:3" ht="14.45">
      <c r="A52" s="12"/>
      <c r="B52" s="12"/>
      <c r="C52" s="12"/>
    </row>
    <row r="53" spans="1:3" ht="14.45">
      <c r="A53" s="12"/>
      <c r="B53" s="12"/>
      <c r="C53" s="12"/>
    </row>
    <row r="54" spans="1:3" ht="14.45">
      <c r="A54" s="12"/>
      <c r="B54" s="12"/>
      <c r="C54" s="12"/>
    </row>
    <row r="55" spans="1:3" ht="14.45">
      <c r="A55" s="12"/>
      <c r="B55" s="12"/>
      <c r="C55" s="12"/>
    </row>
    <row r="56" spans="1:3" ht="14.45">
      <c r="A56" s="12"/>
      <c r="B56" s="12"/>
      <c r="C56" s="12"/>
    </row>
    <row r="57" spans="1:3" ht="14.45">
      <c r="A57" s="12"/>
      <c r="B57" s="12"/>
      <c r="C57" s="12"/>
    </row>
    <row r="58" spans="1:3" ht="14.45">
      <c r="A58" s="12"/>
      <c r="B58" s="12"/>
      <c r="C58" s="12"/>
    </row>
    <row r="59" spans="1:3" ht="14.45">
      <c r="A59" s="12"/>
      <c r="B59" s="12"/>
      <c r="C59" s="12"/>
    </row>
    <row r="60" spans="1:3" ht="14.45">
      <c r="A60" s="12"/>
      <c r="B60" s="12"/>
      <c r="C60" s="12"/>
    </row>
    <row r="61" spans="1:3" ht="14.45">
      <c r="A61" s="12"/>
      <c r="B61" s="12"/>
      <c r="C61" s="12"/>
    </row>
    <row r="62" spans="1:3" ht="14.45">
      <c r="A62" s="12"/>
      <c r="B62" s="12"/>
      <c r="C62" s="12"/>
    </row>
    <row r="63" spans="1:3" ht="14.45">
      <c r="A63" s="12"/>
      <c r="B63" s="12"/>
      <c r="C63" s="12"/>
    </row>
    <row r="64" spans="1:3" ht="14.45">
      <c r="A64" s="12"/>
      <c r="B64" s="12"/>
      <c r="C64" s="12"/>
    </row>
    <row r="65" spans="1:3" ht="14.45">
      <c r="A65" s="12"/>
      <c r="B65" s="12"/>
      <c r="C65" s="12"/>
    </row>
    <row r="66" spans="1:3" ht="14.45">
      <c r="A66" s="12"/>
      <c r="B66" s="12"/>
      <c r="C66" s="12"/>
    </row>
    <row r="67" spans="1:3" ht="14.45">
      <c r="A67" s="12"/>
      <c r="B67" s="12"/>
      <c r="C67" s="12"/>
    </row>
    <row r="68" spans="1:3" ht="14.45">
      <c r="A68" s="12"/>
      <c r="B68" s="12"/>
      <c r="C68" s="12"/>
    </row>
    <row r="69" spans="1:3" ht="14.45">
      <c r="A69" s="12"/>
      <c r="B69" s="12"/>
      <c r="C69" s="12"/>
    </row>
    <row r="70" spans="1:3" ht="14.45">
      <c r="A70" s="12"/>
      <c r="B70" s="12"/>
      <c r="C70" s="12"/>
    </row>
    <row r="71" spans="1:3" ht="14.45">
      <c r="A71" s="12"/>
      <c r="B71" s="12"/>
      <c r="C71" s="12"/>
    </row>
    <row r="72" spans="1:3" ht="14.45">
      <c r="A72" s="12"/>
      <c r="B72" s="12"/>
      <c r="C72" s="12"/>
    </row>
    <row r="73" spans="1:3" ht="14.45">
      <c r="A73" s="12"/>
      <c r="B73" s="12"/>
      <c r="C73" s="12"/>
    </row>
    <row r="74" spans="1:3" ht="14.45">
      <c r="A74" s="12"/>
      <c r="B74" s="12"/>
      <c r="C74" s="12"/>
    </row>
    <row r="75" spans="1:3" ht="14.45">
      <c r="A75" s="12"/>
      <c r="B75" s="12"/>
      <c r="C75" s="12"/>
    </row>
    <row r="76" spans="1:3" ht="14.45">
      <c r="A76" s="12"/>
      <c r="B76" s="12"/>
      <c r="C76" s="12"/>
    </row>
    <row r="77" spans="1:3" ht="14.45">
      <c r="A77" s="12"/>
      <c r="B77" s="12"/>
      <c r="C77" s="12"/>
    </row>
    <row r="78" spans="1:3" ht="14.45">
      <c r="A78" s="12"/>
      <c r="B78" s="12"/>
      <c r="C78" s="12"/>
    </row>
    <row r="79" spans="1:3" ht="14.45">
      <c r="A79" s="12"/>
      <c r="B79" s="12"/>
      <c r="C79" s="12"/>
    </row>
    <row r="80" spans="1:3" ht="14.45">
      <c r="A80" s="12"/>
      <c r="B80" s="12"/>
      <c r="C80" s="12"/>
    </row>
    <row r="81" spans="1:3" ht="14.45">
      <c r="A81" s="12"/>
      <c r="B81" s="12"/>
      <c r="C81" s="12"/>
    </row>
    <row r="82" spans="1:3" ht="14.45">
      <c r="A82" s="12"/>
      <c r="B82" s="12"/>
      <c r="C82" s="12"/>
    </row>
    <row r="83" spans="1:3" ht="14.45">
      <c r="A83" s="12"/>
      <c r="B83" s="12"/>
      <c r="C83" s="12"/>
    </row>
    <row r="84" spans="1:3" ht="14.45">
      <c r="A84" s="12"/>
      <c r="B84" s="12"/>
      <c r="C84" s="12"/>
    </row>
    <row r="85" spans="1:3" ht="14.45">
      <c r="A85" s="12"/>
      <c r="B85" s="12"/>
      <c r="C85" s="12"/>
    </row>
    <row r="86" spans="1:3" ht="14.45">
      <c r="A86" s="12"/>
      <c r="B86" s="12"/>
      <c r="C86" s="12"/>
    </row>
    <row r="87" spans="1:3" ht="14.45">
      <c r="A87" s="12"/>
      <c r="B87" s="12"/>
      <c r="C87" s="12"/>
    </row>
    <row r="88" spans="1:3" ht="14.45">
      <c r="A88" s="12"/>
      <c r="B88" s="12"/>
      <c r="C88" s="12"/>
    </row>
    <row r="89" spans="1:3" ht="14.45">
      <c r="A89" s="12"/>
      <c r="B89" s="12"/>
      <c r="C89" s="12"/>
    </row>
    <row r="90" spans="1:3" ht="14.45">
      <c r="A90" s="12"/>
      <c r="B90" s="12"/>
      <c r="C90" s="12"/>
    </row>
    <row r="91" spans="1:3" ht="14.45">
      <c r="A91" s="12"/>
      <c r="B91" s="12"/>
      <c r="C91" s="12"/>
    </row>
    <row r="92" spans="1:3" ht="14.45">
      <c r="A92" s="12"/>
      <c r="B92" s="12"/>
      <c r="C92" s="12"/>
    </row>
    <row r="93" spans="1:3" ht="14.45">
      <c r="A93" s="12"/>
      <c r="B93" s="12"/>
      <c r="C93" s="12"/>
    </row>
    <row r="94" spans="1:3" ht="14.45">
      <c r="A94" s="12"/>
      <c r="B94" s="12"/>
      <c r="C94" s="12"/>
    </row>
    <row r="95" spans="1:3" ht="14.45">
      <c r="A95" s="12"/>
      <c r="B95" s="12"/>
      <c r="C95" s="12"/>
    </row>
    <row r="96" spans="1:3" ht="14.45">
      <c r="A96" s="12"/>
      <c r="B96" s="12"/>
      <c r="C96" s="12"/>
    </row>
    <row r="97" spans="1:3" ht="14.45">
      <c r="A97" s="12"/>
      <c r="B97" s="12"/>
      <c r="C97" s="12"/>
    </row>
    <row r="98" spans="1:3" ht="14.45">
      <c r="A98" s="12"/>
      <c r="B98" s="12"/>
      <c r="C98" s="12"/>
    </row>
    <row r="99" spans="1:3" ht="14.45">
      <c r="A99" s="12"/>
      <c r="B99" s="12"/>
      <c r="C99" s="12"/>
    </row>
    <row r="100" spans="1:3" ht="14.45">
      <c r="A100" s="12"/>
      <c r="B100" s="12"/>
      <c r="C100" s="12"/>
    </row>
    <row r="101" spans="1:3" ht="14.45">
      <c r="A101" s="12"/>
      <c r="B101" s="12"/>
      <c r="C101" s="12"/>
    </row>
    <row r="102" spans="1:3" ht="14.45">
      <c r="A102" s="12"/>
      <c r="B102" s="12"/>
      <c r="C102" s="12"/>
    </row>
    <row r="103" spans="1:3" ht="14.45">
      <c r="A103" s="12"/>
      <c r="B103" s="12"/>
      <c r="C103" s="12"/>
    </row>
    <row r="104" spans="1:3" ht="14.45">
      <c r="A104" s="12"/>
      <c r="B104" s="12"/>
      <c r="C104" s="12"/>
    </row>
    <row r="105" spans="1:3" ht="14.45">
      <c r="A105" s="12"/>
      <c r="B105" s="12"/>
      <c r="C105" s="12"/>
    </row>
    <row r="106" spans="1:3" ht="14.45">
      <c r="A106" s="12"/>
      <c r="B106" s="12"/>
      <c r="C106" s="12"/>
    </row>
    <row r="107" spans="1:3" ht="14.45">
      <c r="A107" s="12"/>
      <c r="B107" s="12"/>
      <c r="C107" s="12"/>
    </row>
    <row r="108" spans="1:3" ht="14.45">
      <c r="A108" s="12"/>
      <c r="B108" s="12"/>
      <c r="C108" s="12"/>
    </row>
    <row r="109" spans="1:3" ht="14.45">
      <c r="A109" s="12"/>
      <c r="B109" s="12"/>
      <c r="C109" s="12"/>
    </row>
    <row r="110" spans="1:3" ht="14.45">
      <c r="A110" s="12"/>
      <c r="B110" s="12"/>
      <c r="C110" s="12"/>
    </row>
    <row r="111" spans="1:3" ht="14.45">
      <c r="A111" s="12"/>
      <c r="B111" s="12"/>
      <c r="C111" s="12"/>
    </row>
    <row r="112" spans="1:3" ht="14.45">
      <c r="A112" s="12"/>
      <c r="B112" s="12"/>
      <c r="C112" s="12"/>
    </row>
    <row r="113" spans="1:3" ht="14.45">
      <c r="A113" s="12"/>
      <c r="B113" s="12"/>
      <c r="C113" s="12"/>
    </row>
    <row r="114" spans="1:3" ht="14.45">
      <c r="A114" s="12"/>
      <c r="B114" s="12"/>
      <c r="C114" s="12"/>
    </row>
    <row r="115" spans="1:3" ht="14.45">
      <c r="A115" s="12"/>
      <c r="B115" s="12"/>
      <c r="C115" s="12"/>
    </row>
    <row r="116" spans="1:3" ht="14.45">
      <c r="A116" s="12"/>
      <c r="B116" s="12"/>
      <c r="C116" s="12"/>
    </row>
    <row r="117" spans="1:3" ht="14.45">
      <c r="A117" s="12"/>
      <c r="B117" s="12"/>
      <c r="C117" s="12"/>
    </row>
    <row r="118" spans="1:3" ht="14.45">
      <c r="A118" s="12"/>
      <c r="B118" s="12"/>
      <c r="C118" s="12"/>
    </row>
    <row r="119" spans="1:3" ht="14.45">
      <c r="A119" s="12"/>
      <c r="B119" s="12"/>
      <c r="C119" s="12"/>
    </row>
    <row r="120" spans="1:3" ht="14.45">
      <c r="A120" s="12"/>
      <c r="B120" s="12"/>
      <c r="C120" s="12"/>
    </row>
    <row r="121" spans="1:3" ht="14.45">
      <c r="A121" s="12"/>
      <c r="B121" s="12"/>
      <c r="C121" s="12"/>
    </row>
    <row r="122" spans="1:3" ht="14.45">
      <c r="A122" s="12"/>
      <c r="B122" s="12"/>
      <c r="C122" s="12"/>
    </row>
    <row r="123" spans="1:3" ht="14.45">
      <c r="A123" s="12"/>
      <c r="B123" s="12"/>
      <c r="C123" s="12"/>
    </row>
    <row r="124" spans="1:3" ht="14.45">
      <c r="A124" s="12"/>
      <c r="B124" s="12"/>
      <c r="C124" s="12"/>
    </row>
    <row r="125" spans="1:3" ht="14.45">
      <c r="A125" s="12"/>
      <c r="B125" s="12"/>
      <c r="C125" s="12"/>
    </row>
    <row r="126" spans="1:3" ht="14.45">
      <c r="A126" s="12"/>
      <c r="B126" s="12"/>
      <c r="C126" s="12"/>
    </row>
    <row r="127" spans="1:3" ht="14.45">
      <c r="A127" s="12"/>
      <c r="B127" s="12"/>
      <c r="C127" s="12"/>
    </row>
    <row r="128" spans="1:3" ht="14.45">
      <c r="A128" s="12"/>
      <c r="B128" s="12"/>
      <c r="C128" s="12"/>
    </row>
    <row r="129" spans="1:3" ht="14.45">
      <c r="A129" s="12"/>
      <c r="B129" s="12"/>
      <c r="C129" s="12"/>
    </row>
    <row r="130" spans="1:3" ht="14.45">
      <c r="A130" s="12"/>
      <c r="B130" s="12"/>
      <c r="C130" s="12"/>
    </row>
    <row r="131" spans="1:3" ht="14.45">
      <c r="A131" s="12"/>
      <c r="B131" s="12"/>
      <c r="C131" s="12"/>
    </row>
    <row r="132" spans="1:3" ht="14.45">
      <c r="A132" s="12"/>
      <c r="B132" s="12"/>
      <c r="C132" s="12"/>
    </row>
    <row r="133" spans="1:3" ht="14.45">
      <c r="A133" s="12"/>
      <c r="B133" s="12"/>
      <c r="C133" s="12"/>
    </row>
    <row r="134" spans="1:3" ht="14.45">
      <c r="A134" s="12"/>
      <c r="B134" s="12"/>
      <c r="C134" s="12"/>
    </row>
    <row r="135" spans="1:3" ht="14.45">
      <c r="A135" s="12"/>
      <c r="B135" s="12"/>
      <c r="C135" s="12"/>
    </row>
    <row r="136" spans="1:3" ht="14.45">
      <c r="A136" s="12"/>
      <c r="B136" s="12"/>
      <c r="C136" s="12"/>
    </row>
    <row r="137" spans="1:3" ht="14.45">
      <c r="A137" s="12"/>
      <c r="B137" s="12"/>
      <c r="C137" s="12"/>
    </row>
    <row r="138" spans="1:3" ht="14.45">
      <c r="A138" s="12"/>
      <c r="B138" s="12"/>
      <c r="C138" s="12"/>
    </row>
    <row r="139" spans="1:3" ht="14.45">
      <c r="A139" s="12"/>
      <c r="B139" s="12"/>
      <c r="C139" s="12"/>
    </row>
    <row r="140" spans="1:3" ht="14.45">
      <c r="A140" s="12"/>
      <c r="B140" s="12"/>
      <c r="C140" s="12"/>
    </row>
    <row r="141" spans="1:3" ht="14.45">
      <c r="A141" s="12"/>
      <c r="B141" s="12"/>
      <c r="C141" s="12"/>
    </row>
    <row r="142" spans="1:3" ht="14.45">
      <c r="A142" s="12"/>
      <c r="B142" s="12"/>
      <c r="C142" s="12"/>
    </row>
    <row r="143" spans="1:3" ht="14.45">
      <c r="A143" s="12"/>
      <c r="B143" s="12"/>
      <c r="C143" s="12"/>
    </row>
    <row r="144" spans="1:3" ht="14.45">
      <c r="A144" s="12"/>
      <c r="B144" s="12"/>
      <c r="C144" s="12"/>
    </row>
    <row r="145" spans="1:3" ht="14.45">
      <c r="A145" s="12"/>
      <c r="B145" s="12"/>
      <c r="C145" s="12"/>
    </row>
    <row r="146" spans="1:3" ht="14.45">
      <c r="A146" s="12"/>
      <c r="B146" s="12"/>
      <c r="C146" s="12"/>
    </row>
    <row r="147" spans="1:3" ht="14.45">
      <c r="A147" s="12"/>
      <c r="B147" s="12"/>
      <c r="C147" s="12"/>
    </row>
    <row r="148" spans="1:3" ht="14.45">
      <c r="A148" s="12"/>
      <c r="B148" s="12"/>
      <c r="C148" s="12"/>
    </row>
    <row r="149" spans="1:3" ht="14.45">
      <c r="A149" s="12"/>
      <c r="B149" s="12"/>
      <c r="C149" s="12"/>
    </row>
    <row r="150" spans="1:3" ht="14.45">
      <c r="A150" s="12"/>
      <c r="B150" s="12"/>
      <c r="C150" s="12"/>
    </row>
    <row r="151" spans="1:3" ht="14.45">
      <c r="A151" s="12"/>
      <c r="B151" s="12"/>
      <c r="C151" s="12"/>
    </row>
    <row r="152" spans="1:3" ht="14.45">
      <c r="A152" s="12"/>
      <c r="B152" s="12"/>
      <c r="C152" s="12"/>
    </row>
    <row r="153" spans="1:3" ht="14.45">
      <c r="A153" s="12"/>
      <c r="B153" s="12"/>
      <c r="C153" s="12"/>
    </row>
    <row r="154" spans="1:3" ht="14.45">
      <c r="A154" s="12"/>
      <c r="B154" s="12"/>
      <c r="C154" s="12"/>
    </row>
    <row r="155" spans="1:3" ht="14.45">
      <c r="A155" s="12"/>
      <c r="B155" s="12"/>
      <c r="C155" s="12"/>
    </row>
    <row r="156" spans="1:3" ht="14.45">
      <c r="A156" s="12"/>
      <c r="B156" s="12"/>
      <c r="C156" s="12"/>
    </row>
    <row r="157" spans="1:3" ht="14.45">
      <c r="A157" s="12"/>
      <c r="B157" s="12"/>
      <c r="C157" s="12"/>
    </row>
    <row r="158" spans="1:3" ht="14.45">
      <c r="A158" s="12"/>
      <c r="B158" s="12"/>
      <c r="C158" s="12"/>
    </row>
    <row r="159" spans="1:3" ht="14.45">
      <c r="A159" s="12"/>
      <c r="B159" s="12"/>
      <c r="C159" s="12"/>
    </row>
    <row r="160" spans="1:3" ht="14.45">
      <c r="A160" s="12"/>
      <c r="B160" s="12"/>
      <c r="C160" s="12"/>
    </row>
    <row r="161" spans="1:3" ht="14.45">
      <c r="A161" s="12"/>
      <c r="B161" s="12"/>
      <c r="C161" s="12"/>
    </row>
    <row r="162" spans="1:3" ht="14.45">
      <c r="A162" s="12"/>
      <c r="B162" s="12"/>
      <c r="C162" s="12"/>
    </row>
    <row r="163" spans="1:3" ht="14.45">
      <c r="A163" s="12"/>
      <c r="B163" s="12"/>
      <c r="C163" s="12"/>
    </row>
    <row r="164" spans="1:3" ht="14.45">
      <c r="A164" s="12"/>
      <c r="B164" s="12"/>
      <c r="C164" s="12"/>
    </row>
    <row r="165" spans="1:3" ht="14.45">
      <c r="A165" s="12"/>
      <c r="B165" s="12"/>
      <c r="C165" s="12"/>
    </row>
    <row r="166" spans="1:3" ht="14.45">
      <c r="A166" s="12"/>
      <c r="B166" s="12"/>
      <c r="C166" s="12"/>
    </row>
    <row r="167" spans="1:3" ht="14.45">
      <c r="A167" s="12"/>
      <c r="B167" s="12"/>
      <c r="C167" s="12"/>
    </row>
    <row r="168" spans="1:3" ht="14.45">
      <c r="A168" s="12"/>
      <c r="B168" s="12"/>
      <c r="C168" s="12"/>
    </row>
    <row r="169" spans="1:3" ht="14.45">
      <c r="A169" s="12"/>
      <c r="B169" s="12"/>
      <c r="C169" s="12"/>
    </row>
    <row r="170" spans="1:3" ht="14.45">
      <c r="A170" s="12"/>
      <c r="B170" s="12"/>
      <c r="C170" s="12"/>
    </row>
    <row r="171" spans="1:3" ht="14.45">
      <c r="A171" s="12"/>
      <c r="B171" s="12"/>
      <c r="C171" s="12"/>
    </row>
    <row r="172" spans="1:3" ht="14.45">
      <c r="A172" s="12"/>
      <c r="B172" s="12"/>
      <c r="C172" s="12"/>
    </row>
    <row r="173" spans="1:3" ht="14.45">
      <c r="A173" s="12"/>
      <c r="B173" s="12"/>
      <c r="C173" s="12"/>
    </row>
    <row r="174" spans="1:3" ht="14.45">
      <c r="A174" s="12"/>
      <c r="B174" s="12"/>
      <c r="C174" s="12"/>
    </row>
    <row r="175" spans="1:3" ht="14.45">
      <c r="A175" s="12"/>
      <c r="B175" s="12"/>
      <c r="C175" s="12"/>
    </row>
    <row r="176" spans="1:3" ht="14.45">
      <c r="A176" s="12"/>
      <c r="B176" s="12"/>
      <c r="C176" s="12"/>
    </row>
    <row r="177" spans="1:3" ht="14.45">
      <c r="A177" s="12"/>
      <c r="B177" s="12"/>
      <c r="C177" s="12"/>
    </row>
    <row r="178" spans="1:3" ht="14.45">
      <c r="A178" s="12"/>
      <c r="B178" s="12"/>
      <c r="C178" s="12"/>
    </row>
    <row r="179" spans="1:3" ht="14.45">
      <c r="A179" s="12"/>
      <c r="B179" s="12"/>
      <c r="C179" s="12"/>
    </row>
    <row r="180" spans="1:3" ht="14.45">
      <c r="A180" s="12"/>
      <c r="B180" s="12"/>
      <c r="C180" s="12"/>
    </row>
    <row r="181" spans="1:3" ht="14.45">
      <c r="A181" s="12"/>
      <c r="B181" s="12"/>
      <c r="C181" s="12"/>
    </row>
    <row r="182" spans="1:3" ht="14.45">
      <c r="A182" s="12"/>
      <c r="B182" s="12"/>
      <c r="C182" s="12"/>
    </row>
    <row r="183" spans="1:3" ht="14.45">
      <c r="A183" s="12"/>
      <c r="B183" s="12"/>
      <c r="C183" s="12"/>
    </row>
    <row r="184" spans="1:3" ht="14.45">
      <c r="A184" s="12"/>
      <c r="B184" s="12"/>
      <c r="C184" s="12"/>
    </row>
    <row r="185" spans="1:3" ht="14.45">
      <c r="A185" s="12"/>
      <c r="B185" s="12"/>
      <c r="C185" s="12"/>
    </row>
    <row r="186" spans="1:3" ht="14.45">
      <c r="A186" s="12"/>
      <c r="B186" s="12"/>
      <c r="C186" s="12"/>
    </row>
    <row r="187" spans="1:3" ht="14.45">
      <c r="A187" s="12"/>
      <c r="B187" s="12"/>
      <c r="C187" s="12"/>
    </row>
    <row r="188" spans="1:3" ht="14.45">
      <c r="A188" s="12"/>
      <c r="B188" s="12"/>
      <c r="C188" s="12"/>
    </row>
    <row r="189" spans="1:3" ht="14.45">
      <c r="A189" s="12"/>
      <c r="B189" s="12"/>
      <c r="C189" s="12"/>
    </row>
    <row r="190" spans="1:3" ht="14.45">
      <c r="A190" s="12"/>
      <c r="B190" s="12"/>
      <c r="C190" s="12"/>
    </row>
    <row r="191" spans="1:3" ht="14.45">
      <c r="A191" s="12"/>
      <c r="B191" s="12"/>
      <c r="C191" s="12"/>
    </row>
    <row r="192" spans="1:3" ht="14.45">
      <c r="A192" s="12"/>
      <c r="B192" s="12"/>
      <c r="C192" s="12"/>
    </row>
    <row r="193" spans="1:3" ht="14.45">
      <c r="A193" s="12"/>
      <c r="B193" s="12"/>
      <c r="C193" s="12"/>
    </row>
    <row r="194" spans="1:3" ht="14.45">
      <c r="A194" s="12"/>
      <c r="B194" s="12"/>
      <c r="C194" s="12"/>
    </row>
    <row r="195" spans="1:3" ht="14.45">
      <c r="A195" s="12"/>
      <c r="B195" s="12"/>
      <c r="C195" s="12"/>
    </row>
    <row r="196" spans="1:3" ht="14.45">
      <c r="A196" s="12"/>
      <c r="B196" s="12"/>
      <c r="C196" s="12"/>
    </row>
    <row r="197" spans="1:3" ht="14.45">
      <c r="A197" s="12"/>
      <c r="B197" s="12"/>
      <c r="C197" s="12"/>
    </row>
    <row r="198" spans="1:3" ht="14.45">
      <c r="A198" s="12"/>
      <c r="B198" s="12"/>
      <c r="C198" s="12"/>
    </row>
    <row r="199" spans="1:3" ht="14.45">
      <c r="A199" s="12"/>
      <c r="B199" s="12"/>
      <c r="C199" s="12"/>
    </row>
    <row r="200" spans="1:3" ht="14.45">
      <c r="A200" s="12"/>
      <c r="B200" s="12"/>
      <c r="C200" s="12"/>
    </row>
    <row r="201" spans="1:3" ht="14.45">
      <c r="A201" s="12"/>
      <c r="B201" s="12"/>
      <c r="C201" s="12"/>
    </row>
    <row r="202" spans="1:3" ht="14.45">
      <c r="A202" s="12"/>
      <c r="B202" s="12"/>
      <c r="C202" s="12"/>
    </row>
    <row r="203" spans="1:3" ht="14.45">
      <c r="A203" s="12"/>
      <c r="B203" s="12"/>
      <c r="C203" s="12"/>
    </row>
    <row r="204" spans="1:3" ht="14.45">
      <c r="A204" s="12"/>
      <c r="B204" s="12"/>
      <c r="C204" s="12"/>
    </row>
    <row r="205" spans="1:3" ht="14.45">
      <c r="A205" s="12"/>
      <c r="B205" s="12"/>
      <c r="C205" s="12"/>
    </row>
    <row r="206" spans="1:3" ht="14.45">
      <c r="A206" s="12"/>
      <c r="B206" s="12"/>
      <c r="C206" s="12"/>
    </row>
    <row r="207" spans="1:3" ht="14.45">
      <c r="A207" s="12"/>
      <c r="B207" s="12"/>
      <c r="C207" s="12"/>
    </row>
    <row r="208" spans="1:3" ht="14.45">
      <c r="A208" s="12"/>
      <c r="B208" s="12"/>
      <c r="C208" s="12"/>
    </row>
    <row r="209" spans="1:3" ht="14.45">
      <c r="A209" s="12"/>
      <c r="B209" s="12"/>
      <c r="C209" s="12"/>
    </row>
    <row r="210" spans="1:3" ht="14.45">
      <c r="A210" s="12"/>
      <c r="B210" s="12"/>
      <c r="C210" s="12"/>
    </row>
    <row r="211" spans="1:3" ht="14.45">
      <c r="A211" s="12"/>
      <c r="B211" s="12"/>
      <c r="C211" s="12"/>
    </row>
    <row r="212" spans="1:3" ht="14.45">
      <c r="A212" s="12"/>
      <c r="B212" s="12"/>
      <c r="C212" s="12"/>
    </row>
    <row r="213" spans="1:3" ht="14.45">
      <c r="A213" s="12"/>
      <c r="B213" s="12"/>
      <c r="C213" s="12"/>
    </row>
    <row r="214" spans="1:3" ht="14.45">
      <c r="A214" s="12"/>
      <c r="B214" s="12"/>
      <c r="C214" s="12"/>
    </row>
    <row r="215" spans="1:3" ht="14.45">
      <c r="A215" s="12"/>
      <c r="B215" s="12"/>
      <c r="C215" s="12"/>
    </row>
    <row r="216" spans="1:3" ht="14.45">
      <c r="A216" s="12"/>
      <c r="B216" s="12"/>
      <c r="C216" s="12"/>
    </row>
    <row r="217" spans="1:3" ht="14.45">
      <c r="A217" s="12"/>
      <c r="B217" s="12"/>
      <c r="C217" s="12"/>
    </row>
    <row r="218" spans="1:3" ht="14.45">
      <c r="A218" s="12"/>
      <c r="B218" s="12"/>
      <c r="C218" s="12"/>
    </row>
    <row r="219" spans="1:3" ht="14.45">
      <c r="A219" s="12"/>
      <c r="B219" s="12"/>
      <c r="C219" s="12"/>
    </row>
    <row r="220" spans="1:3" ht="14.45">
      <c r="A220" s="12"/>
      <c r="B220" s="12"/>
      <c r="C220" s="12"/>
    </row>
    <row r="221" spans="1:3" ht="14.45">
      <c r="A221" s="12"/>
      <c r="B221" s="12"/>
      <c r="C221" s="12"/>
    </row>
    <row r="222" spans="1:3" ht="14.45">
      <c r="A222" s="12"/>
      <c r="B222" s="12"/>
      <c r="C222" s="12"/>
    </row>
    <row r="223" spans="1:3" ht="14.45">
      <c r="A223" s="12"/>
      <c r="B223" s="12"/>
      <c r="C223" s="12"/>
    </row>
    <row r="224" spans="1:3" ht="14.45">
      <c r="A224" s="12"/>
      <c r="B224" s="12"/>
      <c r="C224" s="12"/>
    </row>
    <row r="225" spans="1:3" ht="14.45">
      <c r="A225" s="12"/>
      <c r="B225" s="12"/>
      <c r="C225" s="12"/>
    </row>
    <row r="226" spans="1:3" ht="14.45">
      <c r="A226" s="12"/>
      <c r="B226" s="12"/>
      <c r="C226" s="12"/>
    </row>
    <row r="227" spans="1:3" ht="14.45">
      <c r="A227" s="12"/>
      <c r="B227" s="12"/>
      <c r="C227" s="12"/>
    </row>
    <row r="228" spans="1:3" ht="14.45">
      <c r="A228" s="12"/>
      <c r="B228" s="12"/>
      <c r="C228" s="12"/>
    </row>
    <row r="229" spans="1:3" ht="14.45">
      <c r="A229" s="12"/>
      <c r="B229" s="12"/>
      <c r="C229" s="12"/>
    </row>
    <row r="230" spans="1:3" ht="14.45">
      <c r="A230" s="12"/>
      <c r="B230" s="12"/>
      <c r="C230" s="12"/>
    </row>
    <row r="231" spans="1:3" ht="14.45">
      <c r="A231" s="12"/>
      <c r="B231" s="12"/>
      <c r="C231" s="12"/>
    </row>
    <row r="232" spans="1:3" ht="14.45">
      <c r="A232" s="12"/>
      <c r="B232" s="12"/>
      <c r="C232" s="12"/>
    </row>
    <row r="233" spans="1:3" ht="14.45">
      <c r="A233" s="12"/>
      <c r="B233" s="12"/>
      <c r="C233" s="12"/>
    </row>
    <row r="234" spans="1:3" ht="14.45">
      <c r="A234" s="12"/>
      <c r="B234" s="12"/>
      <c r="C234" s="12"/>
    </row>
    <row r="235" spans="1:3" ht="14.45">
      <c r="A235" s="12"/>
      <c r="B235" s="12"/>
      <c r="C235" s="12"/>
    </row>
    <row r="236" spans="1:3" ht="14.45">
      <c r="A236" s="12"/>
      <c r="B236" s="12"/>
      <c r="C236" s="12"/>
    </row>
    <row r="237" spans="1:3" ht="14.45">
      <c r="A237" s="12"/>
      <c r="B237" s="12"/>
      <c r="C237" s="12"/>
    </row>
    <row r="238" spans="1:3" ht="14.45">
      <c r="A238" s="12"/>
      <c r="B238" s="12"/>
      <c r="C238" s="12"/>
    </row>
    <row r="239" spans="1:3" ht="14.45">
      <c r="A239" s="12"/>
      <c r="B239" s="12"/>
      <c r="C239" s="12"/>
    </row>
    <row r="240" spans="1:3" ht="14.45">
      <c r="A240" s="12"/>
      <c r="B240" s="12"/>
      <c r="C240" s="12"/>
    </row>
    <row r="241" spans="1:3" ht="14.45">
      <c r="A241" s="12"/>
      <c r="B241" s="12"/>
      <c r="C241" s="12"/>
    </row>
    <row r="242" spans="1:3" ht="14.45">
      <c r="A242" s="12"/>
      <c r="B242" s="12"/>
      <c r="C242" s="12"/>
    </row>
    <row r="243" spans="1:3" ht="14.45">
      <c r="A243" s="12"/>
      <c r="B243" s="12"/>
      <c r="C243" s="12"/>
    </row>
    <row r="244" spans="1:3" ht="14.45">
      <c r="A244" s="12"/>
      <c r="B244" s="12"/>
      <c r="C244" s="12"/>
    </row>
    <row r="245" spans="1:3" ht="14.45">
      <c r="A245" s="12"/>
      <c r="B245" s="12"/>
      <c r="C245" s="12"/>
    </row>
    <row r="246" spans="1:3" ht="14.45">
      <c r="A246" s="12"/>
      <c r="B246" s="12"/>
      <c r="C246" s="12"/>
    </row>
    <row r="247" spans="1:3" ht="14.45">
      <c r="A247" s="12"/>
      <c r="B247" s="12"/>
      <c r="C247" s="12"/>
    </row>
    <row r="248" spans="1:3" ht="14.45">
      <c r="A248" s="12"/>
      <c r="B248" s="12"/>
      <c r="C248" s="12"/>
    </row>
    <row r="249" spans="1:3" ht="14.45">
      <c r="A249" s="12"/>
      <c r="B249" s="12"/>
      <c r="C249" s="12"/>
    </row>
    <row r="250" spans="1:3" ht="14.45">
      <c r="A250" s="12"/>
      <c r="B250" s="12"/>
      <c r="C250" s="12"/>
    </row>
    <row r="251" spans="1:3" ht="14.45">
      <c r="A251" s="12"/>
      <c r="B251" s="12"/>
      <c r="C251" s="12"/>
    </row>
    <row r="252" spans="1:3" ht="14.45">
      <c r="A252" s="12"/>
      <c r="B252" s="12"/>
      <c r="C252" s="12"/>
    </row>
    <row r="253" spans="1:3" ht="14.45">
      <c r="A253" s="12"/>
      <c r="B253" s="12"/>
      <c r="C253" s="12"/>
    </row>
    <row r="254" spans="1:3" ht="14.45">
      <c r="A254" s="12"/>
      <c r="B254" s="12"/>
      <c r="C254" s="12"/>
    </row>
    <row r="255" spans="1:3" ht="14.45">
      <c r="A255" s="12"/>
      <c r="B255" s="12"/>
      <c r="C255" s="12"/>
    </row>
    <row r="256" spans="1:3" ht="14.45">
      <c r="A256" s="12"/>
      <c r="B256" s="12"/>
      <c r="C256" s="12"/>
    </row>
    <row r="257" spans="1:3" ht="14.45">
      <c r="A257" s="12"/>
      <c r="B257" s="12"/>
      <c r="C257" s="12"/>
    </row>
    <row r="258" spans="1:3" ht="14.45">
      <c r="A258" s="12"/>
      <c r="B258" s="12"/>
      <c r="C258" s="12"/>
    </row>
    <row r="259" spans="1:3" ht="14.45">
      <c r="A259" s="12"/>
      <c r="B259" s="12"/>
      <c r="C259" s="12"/>
    </row>
    <row r="260" spans="1:3" ht="14.45">
      <c r="A260" s="12"/>
      <c r="B260" s="12"/>
      <c r="C260" s="12"/>
    </row>
    <row r="261" spans="1:3" ht="14.45">
      <c r="A261" s="12"/>
      <c r="B261" s="12"/>
      <c r="C261" s="12"/>
    </row>
    <row r="262" spans="1:3" ht="14.45">
      <c r="A262" s="12"/>
      <c r="B262" s="12"/>
      <c r="C262" s="12"/>
    </row>
    <row r="263" spans="1:3" ht="14.45">
      <c r="A263" s="12"/>
      <c r="B263" s="12"/>
      <c r="C263" s="12"/>
    </row>
    <row r="264" spans="1:3" ht="14.45">
      <c r="A264" s="12"/>
      <c r="B264" s="12"/>
      <c r="C264" s="12"/>
    </row>
    <row r="265" spans="1:3" ht="14.45">
      <c r="A265" s="12"/>
      <c r="B265" s="12"/>
      <c r="C265" s="12"/>
    </row>
    <row r="266" spans="1:3" ht="14.45">
      <c r="A266" s="12"/>
      <c r="B266" s="12"/>
      <c r="C266" s="12"/>
    </row>
    <row r="267" spans="1:3" ht="14.45">
      <c r="A267" s="12"/>
      <c r="B267" s="12"/>
      <c r="C267" s="12"/>
    </row>
    <row r="268" spans="1:3" ht="14.45">
      <c r="A268" s="12"/>
      <c r="B268" s="12"/>
      <c r="C268" s="12"/>
    </row>
    <row r="269" spans="1:3" ht="14.45">
      <c r="A269" s="12"/>
      <c r="B269" s="12"/>
      <c r="C269" s="12"/>
    </row>
    <row r="270" spans="1:3" ht="14.45">
      <c r="A270" s="12"/>
      <c r="B270" s="12"/>
      <c r="C270" s="12"/>
    </row>
    <row r="271" spans="1:3" ht="14.45">
      <c r="A271" s="12"/>
      <c r="B271" s="12"/>
      <c r="C271" s="12"/>
    </row>
    <row r="272" spans="1:3" ht="14.45">
      <c r="A272" s="12"/>
      <c r="B272" s="12"/>
      <c r="C272" s="12"/>
    </row>
    <row r="273" spans="1:3" ht="14.45">
      <c r="A273" s="12"/>
      <c r="B273" s="12"/>
      <c r="C273" s="12"/>
    </row>
    <row r="274" spans="1:3" ht="14.45">
      <c r="A274" s="12"/>
      <c r="B274" s="12"/>
      <c r="C274" s="12"/>
    </row>
    <row r="275" spans="1:3" ht="14.45">
      <c r="A275" s="12"/>
      <c r="B275" s="12"/>
      <c r="C275" s="12"/>
    </row>
    <row r="276" spans="1:3" ht="14.45">
      <c r="A276" s="12"/>
      <c r="B276" s="12"/>
      <c r="C276" s="12"/>
    </row>
    <row r="277" spans="1:3" ht="14.45">
      <c r="A277" s="12"/>
      <c r="B277" s="12"/>
      <c r="C277" s="12"/>
    </row>
    <row r="278" spans="1:3" ht="14.45">
      <c r="A278" s="12"/>
      <c r="B278" s="12"/>
      <c r="C278" s="12"/>
    </row>
    <row r="279" spans="1:3" ht="14.45">
      <c r="A279" s="12"/>
      <c r="B279" s="12"/>
      <c r="C279" s="12"/>
    </row>
    <row r="280" spans="1:3" ht="14.45">
      <c r="A280" s="12"/>
      <c r="B280" s="12"/>
      <c r="C280" s="12"/>
    </row>
    <row r="281" spans="1:3" ht="14.45">
      <c r="A281" s="12"/>
      <c r="B281" s="12"/>
      <c r="C281" s="12"/>
    </row>
    <row r="282" spans="1:3" ht="14.45">
      <c r="A282" s="12"/>
      <c r="B282" s="12"/>
      <c r="C282" s="12"/>
    </row>
    <row r="283" spans="1:3" ht="14.45">
      <c r="A283" s="12"/>
      <c r="B283" s="12"/>
      <c r="C283" s="12"/>
    </row>
    <row r="284" spans="1:3" ht="14.45">
      <c r="A284" s="12"/>
      <c r="B284" s="12"/>
      <c r="C284" s="12"/>
    </row>
    <row r="285" spans="1:3" ht="14.45">
      <c r="A285" s="12"/>
      <c r="B285" s="12"/>
      <c r="C285" s="12"/>
    </row>
    <row r="286" spans="1:3" ht="14.45">
      <c r="A286" s="12"/>
      <c r="B286" s="12"/>
      <c r="C286" s="12"/>
    </row>
    <row r="287" spans="1:3" ht="14.45">
      <c r="A287" s="12"/>
      <c r="B287" s="12"/>
      <c r="C287" s="12"/>
    </row>
    <row r="288" spans="1:3" ht="14.45">
      <c r="A288" s="12"/>
      <c r="B288" s="12"/>
      <c r="C288" s="12"/>
    </row>
    <row r="289" spans="1:3" ht="14.45">
      <c r="A289" s="12"/>
      <c r="B289" s="12"/>
      <c r="C289" s="12"/>
    </row>
    <row r="290" spans="1:3" ht="14.45">
      <c r="A290" s="12"/>
      <c r="B290" s="12"/>
      <c r="C290" s="12"/>
    </row>
    <row r="291" spans="1:3" ht="14.45">
      <c r="A291" s="12"/>
      <c r="B291" s="12"/>
      <c r="C291" s="12"/>
    </row>
    <row r="292" spans="1:3" ht="14.45">
      <c r="A292" s="12"/>
      <c r="B292" s="12"/>
      <c r="C292" s="12"/>
    </row>
    <row r="293" spans="1:3" ht="14.45">
      <c r="A293" s="12"/>
      <c r="B293" s="12"/>
      <c r="C293" s="12"/>
    </row>
    <row r="294" spans="1:3" ht="14.45">
      <c r="A294" s="12"/>
      <c r="B294" s="12"/>
      <c r="C294" s="12"/>
    </row>
    <row r="295" spans="1:3" ht="14.45">
      <c r="A295" s="12"/>
      <c r="B295" s="12"/>
      <c r="C295" s="12"/>
    </row>
    <row r="296" spans="1:3" ht="14.45">
      <c r="A296" s="12"/>
      <c r="B296" s="12"/>
      <c r="C296" s="12"/>
    </row>
    <row r="297" spans="1:3" ht="14.45">
      <c r="A297" s="12"/>
      <c r="B297" s="12"/>
      <c r="C297" s="12"/>
    </row>
    <row r="298" spans="1:3" ht="14.45">
      <c r="A298" s="12"/>
      <c r="B298" s="12"/>
      <c r="C298" s="12"/>
    </row>
    <row r="299" spans="1:3" ht="14.45">
      <c r="A299" s="12"/>
      <c r="B299" s="12"/>
      <c r="C299" s="12"/>
    </row>
    <row r="300" spans="1:3" ht="14.45">
      <c r="A300" s="12"/>
      <c r="B300" s="12"/>
      <c r="C300" s="12"/>
    </row>
    <row r="301" spans="1:3" ht="14.45">
      <c r="A301" s="12"/>
      <c r="B301" s="12"/>
      <c r="C301" s="12"/>
    </row>
    <row r="302" spans="1:3" ht="14.45">
      <c r="A302" s="12"/>
      <c r="B302" s="12"/>
      <c r="C302" s="12"/>
    </row>
    <row r="303" spans="1:3" ht="14.45">
      <c r="A303" s="12"/>
      <c r="B303" s="12"/>
      <c r="C303" s="12"/>
    </row>
    <row r="304" spans="1:3" ht="14.45">
      <c r="A304" s="12"/>
      <c r="B304" s="12"/>
      <c r="C304" s="12"/>
    </row>
    <row r="305" spans="1:3" ht="14.45">
      <c r="A305" s="12"/>
      <c r="B305" s="12"/>
      <c r="C305" s="12"/>
    </row>
    <row r="306" spans="1:3" ht="14.45">
      <c r="A306" s="12"/>
      <c r="B306" s="12"/>
      <c r="C306" s="12"/>
    </row>
    <row r="307" spans="1:3" ht="14.45">
      <c r="A307" s="12"/>
      <c r="B307" s="12"/>
      <c r="C307" s="12"/>
    </row>
    <row r="308" spans="1:3" ht="14.45">
      <c r="A308" s="12"/>
      <c r="B308" s="12"/>
      <c r="C308" s="12"/>
    </row>
    <row r="309" spans="1:3" ht="14.45">
      <c r="A309" s="12"/>
      <c r="B309" s="12"/>
      <c r="C309" s="12"/>
    </row>
    <row r="310" spans="1:3" ht="14.45">
      <c r="A310" s="12"/>
      <c r="B310" s="12"/>
      <c r="C310" s="12"/>
    </row>
    <row r="311" spans="1:3" ht="14.45">
      <c r="A311" s="12"/>
      <c r="B311" s="12"/>
      <c r="C311" s="12"/>
    </row>
    <row r="312" spans="1:3" ht="14.45">
      <c r="A312" s="12"/>
      <c r="B312" s="12"/>
      <c r="C312" s="12"/>
    </row>
    <row r="313" spans="1:3" ht="14.45">
      <c r="A313" s="12"/>
      <c r="B313" s="12"/>
      <c r="C313" s="12"/>
    </row>
    <row r="314" spans="1:3" ht="14.45">
      <c r="A314" s="12"/>
      <c r="B314" s="12"/>
      <c r="C314" s="12"/>
    </row>
    <row r="315" spans="1:3" ht="14.45">
      <c r="A315" s="12"/>
      <c r="B315" s="12"/>
      <c r="C315" s="12"/>
    </row>
    <row r="316" spans="1:3" ht="14.45">
      <c r="A316" s="12"/>
      <c r="B316" s="12"/>
      <c r="C316" s="12"/>
    </row>
    <row r="317" spans="1:3" ht="14.45">
      <c r="A317" s="12"/>
      <c r="B317" s="12"/>
      <c r="C317" s="12"/>
    </row>
    <row r="318" spans="1:3" ht="14.45">
      <c r="A318" s="12"/>
      <c r="B318" s="12"/>
      <c r="C318" s="12"/>
    </row>
    <row r="319" spans="1:3" ht="14.45">
      <c r="A319" s="12"/>
      <c r="B319" s="12"/>
      <c r="C319" s="12"/>
    </row>
    <row r="320" spans="1:3" ht="14.45">
      <c r="A320" s="12"/>
      <c r="B320" s="12"/>
      <c r="C320" s="12"/>
    </row>
    <row r="321" spans="1:3" ht="14.45">
      <c r="A321" s="12"/>
      <c r="B321" s="12"/>
      <c r="C321" s="12"/>
    </row>
    <row r="322" spans="1:3" ht="14.45">
      <c r="A322" s="12"/>
      <c r="B322" s="12"/>
      <c r="C322" s="12"/>
    </row>
    <row r="323" spans="1:3" ht="14.45">
      <c r="A323" s="12"/>
      <c r="B323" s="12"/>
      <c r="C323" s="12"/>
    </row>
    <row r="324" spans="1:3" ht="14.45">
      <c r="A324" s="12"/>
      <c r="B324" s="12"/>
      <c r="C324" s="12"/>
    </row>
    <row r="325" spans="1:3" ht="14.45">
      <c r="A325" s="12"/>
      <c r="B325" s="12"/>
      <c r="C325" s="12"/>
    </row>
    <row r="326" spans="1:3" ht="14.45">
      <c r="A326" s="12"/>
      <c r="B326" s="12"/>
      <c r="C326" s="12"/>
    </row>
    <row r="327" spans="1:3" ht="14.45">
      <c r="A327" s="12"/>
      <c r="B327" s="12"/>
      <c r="C327" s="12"/>
    </row>
    <row r="328" spans="1:3" ht="14.45">
      <c r="A328" s="12"/>
      <c r="B328" s="12"/>
      <c r="C328" s="12"/>
    </row>
    <row r="329" spans="1:3" ht="14.45">
      <c r="A329" s="12"/>
      <c r="B329" s="12"/>
      <c r="C329" s="12"/>
    </row>
    <row r="330" spans="1:3" ht="14.45">
      <c r="A330" s="12"/>
      <c r="B330" s="12"/>
      <c r="C330" s="12"/>
    </row>
    <row r="331" spans="1:3" ht="14.45">
      <c r="A331" s="12"/>
      <c r="B331" s="12"/>
      <c r="C331" s="12"/>
    </row>
    <row r="332" spans="1:3" ht="14.45">
      <c r="A332" s="12"/>
      <c r="B332" s="12"/>
      <c r="C332" s="12"/>
    </row>
    <row r="333" spans="1:3" ht="14.45">
      <c r="A333" s="12"/>
      <c r="B333" s="12"/>
      <c r="C333" s="12"/>
    </row>
    <row r="334" spans="1:3" ht="14.45">
      <c r="A334" s="12"/>
      <c r="B334" s="12"/>
      <c r="C334" s="12"/>
    </row>
    <row r="335" spans="1:3" ht="14.45">
      <c r="A335" s="12"/>
      <c r="B335" s="12"/>
      <c r="C335" s="12"/>
    </row>
    <row r="336" spans="1:3" ht="14.45">
      <c r="A336" s="12"/>
      <c r="B336" s="12"/>
      <c r="C336" s="12"/>
    </row>
    <row r="337" spans="1:3" ht="14.45">
      <c r="A337" s="12"/>
      <c r="B337" s="12"/>
      <c r="C337" s="12"/>
    </row>
    <row r="338" spans="1:3" ht="14.45">
      <c r="A338" s="12"/>
      <c r="B338" s="12"/>
      <c r="C338" s="12"/>
    </row>
    <row r="339" spans="1:3" ht="14.45">
      <c r="A339" s="12"/>
      <c r="B339" s="12"/>
      <c r="C339" s="12"/>
    </row>
    <row r="340" spans="1:3" ht="14.45">
      <c r="A340" s="12"/>
      <c r="B340" s="12"/>
      <c r="C340" s="12"/>
    </row>
    <row r="341" spans="1:3" ht="14.45">
      <c r="A341" s="12"/>
      <c r="B341" s="12"/>
      <c r="C341" s="12"/>
    </row>
    <row r="342" spans="1:3" ht="14.45">
      <c r="A342" s="12"/>
      <c r="B342" s="12"/>
      <c r="C342" s="12"/>
    </row>
    <row r="343" spans="1:3" ht="14.45">
      <c r="A343" s="12"/>
      <c r="B343" s="12"/>
      <c r="C343" s="12"/>
    </row>
    <row r="344" spans="1:3" ht="14.45">
      <c r="A344" s="12"/>
      <c r="B344" s="12"/>
      <c r="C344" s="12"/>
    </row>
    <row r="345" spans="1:3" ht="14.45">
      <c r="A345" s="12"/>
      <c r="B345" s="12"/>
      <c r="C345" s="12"/>
    </row>
    <row r="346" spans="1:3" ht="14.45">
      <c r="A346" s="12"/>
      <c r="B346" s="12"/>
      <c r="C346" s="12"/>
    </row>
    <row r="347" spans="1:3" ht="14.45">
      <c r="A347" s="12"/>
      <c r="B347" s="12"/>
      <c r="C347" s="12"/>
    </row>
    <row r="348" spans="1:3" ht="14.45">
      <c r="A348" s="12"/>
      <c r="B348" s="12"/>
      <c r="C348" s="12"/>
    </row>
    <row r="349" spans="1:3" ht="14.45">
      <c r="A349" s="12"/>
      <c r="B349" s="12"/>
      <c r="C349" s="12"/>
    </row>
    <row r="350" spans="1:3" ht="14.45">
      <c r="A350" s="12"/>
      <c r="B350" s="12"/>
      <c r="C350" s="12"/>
    </row>
    <row r="351" spans="1:3" ht="14.45">
      <c r="A351" s="12"/>
      <c r="B351" s="12"/>
      <c r="C351" s="12"/>
    </row>
    <row r="352" spans="1:3" ht="14.45">
      <c r="A352" s="12"/>
      <c r="B352" s="12"/>
      <c r="C352" s="12"/>
    </row>
    <row r="353" spans="1:3" ht="14.45">
      <c r="A353" s="12"/>
      <c r="B353" s="12"/>
      <c r="C353" s="12"/>
    </row>
    <row r="354" spans="1:3" ht="14.45">
      <c r="A354" s="12"/>
      <c r="B354" s="12"/>
      <c r="C354" s="12"/>
    </row>
    <row r="355" spans="1:3" ht="14.45">
      <c r="A355" s="12"/>
      <c r="B355" s="12"/>
      <c r="C355" s="12"/>
    </row>
    <row r="356" spans="1:3" ht="14.45">
      <c r="A356" s="12"/>
      <c r="B356" s="12"/>
      <c r="C356" s="12"/>
    </row>
    <row r="357" spans="1:3" ht="14.45">
      <c r="A357" s="12"/>
      <c r="B357" s="12"/>
      <c r="C357" s="12"/>
    </row>
    <row r="358" spans="1:3" ht="14.45">
      <c r="A358" s="12"/>
      <c r="B358" s="12"/>
      <c r="C358" s="12"/>
    </row>
    <row r="359" spans="1:3" ht="14.45">
      <c r="A359" s="12"/>
      <c r="B359" s="12"/>
      <c r="C359" s="12"/>
    </row>
    <row r="360" spans="1:3" ht="14.45">
      <c r="A360" s="12"/>
      <c r="B360" s="12"/>
      <c r="C360" s="12"/>
    </row>
    <row r="361" spans="1:3" ht="14.45">
      <c r="A361" s="12"/>
      <c r="B361" s="12"/>
      <c r="C361" s="12"/>
    </row>
    <row r="362" spans="1:3" ht="14.45">
      <c r="A362" s="12"/>
      <c r="B362" s="12"/>
      <c r="C362" s="12"/>
    </row>
    <row r="363" spans="1:3" ht="14.45">
      <c r="A363" s="12"/>
      <c r="B363" s="12"/>
      <c r="C363" s="12"/>
    </row>
    <row r="364" spans="1:3" ht="14.45">
      <c r="A364" s="12"/>
      <c r="B364" s="12"/>
      <c r="C364" s="12"/>
    </row>
    <row r="365" spans="1:3" ht="14.45">
      <c r="A365" s="12"/>
      <c r="B365" s="12"/>
      <c r="C365" s="12"/>
    </row>
    <row r="366" spans="1:3" ht="14.45">
      <c r="A366" s="12"/>
      <c r="B366" s="12"/>
      <c r="C366" s="12"/>
    </row>
    <row r="367" spans="1:3" ht="14.45">
      <c r="A367" s="12"/>
      <c r="B367" s="12"/>
      <c r="C367" s="12"/>
    </row>
    <row r="368" spans="1:3" ht="14.45">
      <c r="A368" s="12"/>
      <c r="B368" s="12"/>
      <c r="C368" s="12"/>
    </row>
    <row r="369" spans="1:3" ht="14.45">
      <c r="A369" s="12"/>
      <c r="B369" s="12"/>
      <c r="C369" s="12"/>
    </row>
    <row r="370" spans="1:3" ht="14.45">
      <c r="A370" s="12"/>
      <c r="B370" s="12"/>
      <c r="C370" s="12"/>
    </row>
    <row r="371" spans="1:3" ht="14.45">
      <c r="A371" s="12"/>
      <c r="B371" s="12"/>
      <c r="C371" s="12"/>
    </row>
    <row r="372" spans="1:3" ht="14.45">
      <c r="A372" s="12"/>
      <c r="B372" s="12"/>
      <c r="C372" s="12"/>
    </row>
    <row r="373" spans="1:3" ht="14.45">
      <c r="A373" s="12"/>
      <c r="B373" s="12"/>
      <c r="C373" s="12"/>
    </row>
    <row r="374" spans="1:3" ht="14.45">
      <c r="A374" s="12"/>
      <c r="B374" s="12"/>
      <c r="C374" s="12"/>
    </row>
    <row r="375" spans="1:3" ht="14.45">
      <c r="A375" s="12"/>
      <c r="B375" s="12"/>
      <c r="C375" s="12"/>
    </row>
    <row r="376" spans="1:3" ht="14.45">
      <c r="A376" s="12"/>
      <c r="B376" s="12"/>
      <c r="C376" s="12"/>
    </row>
    <row r="377" spans="1:3" ht="14.45">
      <c r="A377" s="12"/>
      <c r="B377" s="12"/>
      <c r="C377" s="12"/>
    </row>
    <row r="378" spans="1:3" ht="14.45">
      <c r="A378" s="12"/>
      <c r="B378" s="12"/>
      <c r="C378" s="12"/>
    </row>
    <row r="379" spans="1:3" ht="14.45">
      <c r="A379" s="12"/>
      <c r="B379" s="12"/>
      <c r="C379" s="12"/>
    </row>
    <row r="380" spans="1:3" ht="14.45">
      <c r="A380" s="12"/>
      <c r="B380" s="12"/>
      <c r="C380" s="12"/>
    </row>
    <row r="381" spans="1:3" ht="14.45">
      <c r="A381" s="12"/>
      <c r="B381" s="12"/>
      <c r="C381" s="12"/>
    </row>
    <row r="382" spans="1:3" ht="14.45">
      <c r="A382" s="12"/>
      <c r="B382" s="12"/>
      <c r="C382" s="12"/>
    </row>
    <row r="383" spans="1:3" ht="14.45">
      <c r="A383" s="12"/>
      <c r="B383" s="12"/>
      <c r="C383" s="12"/>
    </row>
    <row r="384" spans="1:3" ht="14.45">
      <c r="A384" s="12"/>
      <c r="B384" s="12"/>
      <c r="C384" s="12"/>
    </row>
    <row r="385" spans="1:3" ht="14.45">
      <c r="A385" s="12"/>
      <c r="B385" s="12"/>
      <c r="C385" s="12"/>
    </row>
    <row r="386" spans="1:3" ht="14.45">
      <c r="A386" s="12"/>
      <c r="B386" s="12"/>
      <c r="C386" s="12"/>
    </row>
    <row r="387" spans="1:3" ht="14.45">
      <c r="A387" s="12"/>
      <c r="B387" s="12"/>
      <c r="C387" s="12"/>
    </row>
    <row r="388" spans="1:3" ht="14.45">
      <c r="A388" s="12"/>
      <c r="B388" s="12"/>
      <c r="C388" s="12"/>
    </row>
    <row r="389" spans="1:3" ht="14.45">
      <c r="A389" s="12"/>
      <c r="B389" s="12"/>
      <c r="C389" s="12"/>
    </row>
    <row r="390" spans="1:3" ht="14.45">
      <c r="A390" s="12"/>
      <c r="B390" s="12"/>
      <c r="C390" s="12"/>
    </row>
    <row r="391" spans="1:3" ht="14.45">
      <c r="A391" s="12"/>
      <c r="B391" s="12"/>
      <c r="C391" s="12"/>
    </row>
    <row r="392" spans="1:3" ht="14.45">
      <c r="A392" s="12"/>
      <c r="B392" s="12"/>
      <c r="C392" s="12"/>
    </row>
    <row r="393" spans="1:3" ht="14.45">
      <c r="A393" s="12"/>
      <c r="B393" s="12"/>
      <c r="C393" s="12"/>
    </row>
    <row r="394" spans="1:3" ht="14.45">
      <c r="A394" s="12"/>
      <c r="B394" s="12"/>
      <c r="C394" s="12"/>
    </row>
    <row r="395" spans="1:3" ht="14.45">
      <c r="A395" s="12"/>
      <c r="B395" s="12"/>
      <c r="C395" s="12"/>
    </row>
    <row r="396" spans="1:3" ht="14.45">
      <c r="A396" s="12"/>
      <c r="B396" s="12"/>
      <c r="C396" s="12"/>
    </row>
    <row r="397" spans="1:3" ht="14.45">
      <c r="A397" s="12"/>
      <c r="B397" s="12"/>
      <c r="C397" s="12"/>
    </row>
    <row r="398" spans="1:3" ht="14.45">
      <c r="A398" s="12"/>
      <c r="B398" s="12"/>
      <c r="C398" s="12"/>
    </row>
    <row r="399" spans="1:3" ht="14.45">
      <c r="A399" s="12"/>
      <c r="B399" s="12"/>
      <c r="C399" s="12"/>
    </row>
    <row r="400" spans="1:3" ht="14.45">
      <c r="A400" s="12"/>
      <c r="B400" s="12"/>
      <c r="C400" s="12"/>
    </row>
    <row r="401" spans="1:3" ht="14.45">
      <c r="A401" s="12"/>
      <c r="B401" s="12"/>
      <c r="C401" s="12"/>
    </row>
    <row r="402" spans="1:3" ht="14.45">
      <c r="A402" s="12"/>
      <c r="B402" s="12"/>
      <c r="C402" s="12"/>
    </row>
    <row r="403" spans="1:3" ht="14.45">
      <c r="A403" s="12"/>
      <c r="B403" s="12"/>
      <c r="C403" s="12"/>
    </row>
    <row r="404" spans="1:3" ht="14.45">
      <c r="A404" s="12"/>
      <c r="B404" s="12"/>
      <c r="C404" s="12"/>
    </row>
    <row r="405" spans="1:3" ht="14.45">
      <c r="A405" s="12"/>
      <c r="B405" s="12"/>
      <c r="C405" s="12"/>
    </row>
    <row r="406" spans="1:3" ht="14.45">
      <c r="A406" s="12"/>
      <c r="B406" s="12"/>
      <c r="C406" s="12"/>
    </row>
    <row r="407" spans="1:3" ht="14.45">
      <c r="A407" s="12"/>
      <c r="B407" s="12"/>
      <c r="C407" s="12"/>
    </row>
    <row r="408" spans="1:3" ht="14.45">
      <c r="A408" s="12"/>
      <c r="B408" s="12"/>
      <c r="C408" s="12"/>
    </row>
    <row r="409" spans="1:3" ht="14.45">
      <c r="A409" s="12"/>
      <c r="B409" s="12"/>
      <c r="C409" s="12"/>
    </row>
    <row r="410" spans="1:3" ht="14.45">
      <c r="A410" s="12"/>
      <c r="B410" s="12"/>
      <c r="C410" s="12"/>
    </row>
    <row r="411" spans="1:3" ht="14.45">
      <c r="A411" s="12"/>
      <c r="B411" s="12"/>
      <c r="C411" s="12"/>
    </row>
    <row r="412" spans="1:3" ht="14.45">
      <c r="A412" s="12"/>
      <c r="B412" s="12"/>
      <c r="C412" s="12"/>
    </row>
    <row r="413" spans="1:3" ht="14.45">
      <c r="A413" s="12"/>
      <c r="B413" s="12"/>
      <c r="C413" s="12"/>
    </row>
    <row r="414" spans="1:3" ht="14.45">
      <c r="A414" s="12"/>
      <c r="B414" s="12"/>
      <c r="C414" s="12"/>
    </row>
    <row r="415" spans="1:3" ht="14.45">
      <c r="A415" s="12"/>
      <c r="B415" s="12"/>
      <c r="C415" s="12"/>
    </row>
    <row r="416" spans="1:3" ht="14.45">
      <c r="A416" s="12"/>
      <c r="B416" s="12"/>
      <c r="C416" s="12"/>
    </row>
    <row r="417" spans="1:3" ht="14.45">
      <c r="A417" s="12"/>
      <c r="B417" s="12"/>
      <c r="C417" s="12"/>
    </row>
    <row r="418" spans="1:3" ht="14.45">
      <c r="A418" s="12"/>
      <c r="B418" s="12"/>
      <c r="C418" s="12"/>
    </row>
    <row r="419" spans="1:3" ht="14.45">
      <c r="A419" s="12"/>
      <c r="B419" s="12"/>
      <c r="C419" s="12"/>
    </row>
    <row r="420" spans="1:3" ht="14.45">
      <c r="A420" s="12"/>
      <c r="B420" s="12"/>
      <c r="C420" s="12"/>
    </row>
    <row r="421" spans="1:3" ht="14.45">
      <c r="A421" s="12"/>
      <c r="B421" s="12"/>
      <c r="C421" s="12"/>
    </row>
    <row r="422" spans="1:3" ht="14.45">
      <c r="A422" s="12"/>
      <c r="B422" s="12"/>
      <c r="C422" s="12"/>
    </row>
    <row r="423" spans="1:3" ht="14.45">
      <c r="A423" s="12"/>
      <c r="B423" s="12"/>
      <c r="C423" s="12"/>
    </row>
    <row r="424" spans="1:3" ht="14.45">
      <c r="A424" s="12"/>
      <c r="B424" s="12"/>
      <c r="C424" s="12"/>
    </row>
    <row r="425" spans="1:3" ht="14.45">
      <c r="A425" s="12"/>
      <c r="B425" s="12"/>
      <c r="C425" s="12"/>
    </row>
    <row r="426" spans="1:3" ht="14.45">
      <c r="A426" s="12"/>
      <c r="B426" s="12"/>
      <c r="C426" s="12"/>
    </row>
    <row r="427" spans="1:3" ht="14.45">
      <c r="A427" s="12"/>
      <c r="B427" s="12"/>
      <c r="C427" s="12"/>
    </row>
    <row r="428" spans="1:3" ht="14.45">
      <c r="A428" s="12"/>
      <c r="B428" s="12"/>
      <c r="C428" s="12"/>
    </row>
    <row r="429" spans="1:3" ht="14.45">
      <c r="A429" s="12"/>
      <c r="B429" s="12"/>
      <c r="C429" s="12"/>
    </row>
    <row r="430" spans="1:3" ht="14.45">
      <c r="A430" s="12"/>
      <c r="B430" s="12"/>
      <c r="C430" s="12"/>
    </row>
    <row r="431" spans="1:3" ht="14.45">
      <c r="A431" s="12"/>
      <c r="B431" s="12"/>
      <c r="C431" s="12"/>
    </row>
    <row r="432" spans="1:3" ht="14.45">
      <c r="A432" s="12"/>
      <c r="B432" s="12"/>
      <c r="C432" s="12"/>
    </row>
    <row r="433" spans="1:3" ht="14.45">
      <c r="A433" s="12"/>
      <c r="B433" s="12"/>
      <c r="C433" s="12"/>
    </row>
    <row r="434" spans="1:3" ht="14.45">
      <c r="A434" s="12"/>
      <c r="B434" s="12"/>
      <c r="C434" s="12"/>
    </row>
    <row r="435" spans="1:3" ht="14.45">
      <c r="A435" s="12"/>
      <c r="B435" s="12"/>
      <c r="C435" s="12"/>
    </row>
    <row r="436" spans="1:3" ht="14.45">
      <c r="A436" s="12"/>
      <c r="B436" s="12"/>
      <c r="C436" s="12"/>
    </row>
    <row r="437" spans="1:3" ht="14.45">
      <c r="A437" s="12"/>
      <c r="B437" s="12"/>
      <c r="C437" s="12"/>
    </row>
    <row r="438" spans="1:3" ht="14.45">
      <c r="A438" s="12"/>
      <c r="B438" s="12"/>
      <c r="C438" s="12"/>
    </row>
    <row r="439" spans="1:3" ht="14.45">
      <c r="A439" s="12"/>
      <c r="B439" s="12"/>
      <c r="C439" s="12"/>
    </row>
    <row r="440" spans="1:3" ht="14.45">
      <c r="A440" s="12"/>
      <c r="B440" s="12"/>
      <c r="C440" s="12"/>
    </row>
    <row r="441" spans="1:3" ht="14.45">
      <c r="A441" s="12"/>
      <c r="B441" s="12"/>
      <c r="C441" s="12"/>
    </row>
    <row r="442" spans="1:3" ht="14.45">
      <c r="A442" s="12"/>
      <c r="B442" s="12"/>
      <c r="C442" s="12"/>
    </row>
    <row r="443" spans="1:3" ht="14.45">
      <c r="A443" s="12"/>
      <c r="B443" s="12"/>
      <c r="C443" s="12"/>
    </row>
    <row r="444" spans="1:3" ht="14.45">
      <c r="A444" s="12"/>
      <c r="B444" s="12"/>
      <c r="C444" s="12"/>
    </row>
    <row r="445" spans="1:3" ht="14.45">
      <c r="A445" s="12"/>
      <c r="B445" s="12"/>
      <c r="C445" s="12"/>
    </row>
    <row r="446" spans="1:3" ht="14.45">
      <c r="A446" s="12"/>
      <c r="B446" s="12"/>
      <c r="C446" s="12"/>
    </row>
    <row r="447" spans="1:3" ht="14.45">
      <c r="A447" s="12"/>
      <c r="B447" s="12"/>
      <c r="C447" s="12"/>
    </row>
    <row r="448" spans="1:3" ht="14.45">
      <c r="A448" s="12"/>
      <c r="B448" s="12"/>
      <c r="C448" s="12"/>
    </row>
    <row r="449" spans="1:3" ht="14.45">
      <c r="A449" s="12"/>
      <c r="B449" s="12"/>
      <c r="C449" s="12"/>
    </row>
    <row r="450" spans="1:3" ht="14.45">
      <c r="A450" s="12"/>
      <c r="B450" s="12"/>
      <c r="C450" s="12"/>
    </row>
    <row r="451" spans="1:3" ht="14.45">
      <c r="A451" s="12"/>
      <c r="B451" s="12"/>
      <c r="C451" s="12"/>
    </row>
    <row r="452" spans="1:3" ht="14.45">
      <c r="A452" s="12"/>
      <c r="B452" s="12"/>
      <c r="C452" s="12"/>
    </row>
    <row r="453" spans="1:3" ht="14.45">
      <c r="A453" s="12"/>
      <c r="B453" s="12"/>
      <c r="C453" s="12"/>
    </row>
    <row r="454" spans="1:3" ht="14.45">
      <c r="A454" s="12"/>
      <c r="B454" s="12"/>
      <c r="C454" s="12"/>
    </row>
    <row r="455" spans="1:3" ht="14.45">
      <c r="A455" s="12"/>
      <c r="B455" s="12"/>
      <c r="C455" s="12"/>
    </row>
    <row r="456" spans="1:3" ht="14.45">
      <c r="A456" s="12"/>
      <c r="B456" s="12"/>
      <c r="C456" s="12"/>
    </row>
    <row r="457" spans="1:3" ht="14.45">
      <c r="A457" s="12"/>
      <c r="B457" s="12"/>
      <c r="C457" s="12"/>
    </row>
    <row r="458" spans="1:3" ht="14.45">
      <c r="A458" s="12"/>
      <c r="B458" s="12"/>
      <c r="C458" s="12"/>
    </row>
    <row r="459" spans="1:3" ht="14.45">
      <c r="A459" s="12"/>
      <c r="B459" s="12"/>
      <c r="C459" s="12"/>
    </row>
    <row r="460" spans="1:3" ht="14.45">
      <c r="A460" s="12"/>
      <c r="B460" s="12"/>
      <c r="C460" s="12"/>
    </row>
    <row r="461" spans="1:3" ht="14.45">
      <c r="A461" s="12"/>
      <c r="B461" s="12"/>
      <c r="C461" s="12"/>
    </row>
    <row r="462" spans="1:3" ht="14.45">
      <c r="A462" s="12"/>
      <c r="B462" s="12"/>
      <c r="C462" s="12"/>
    </row>
    <row r="463" spans="1:3" ht="14.45">
      <c r="A463" s="12"/>
      <c r="B463" s="12"/>
      <c r="C463" s="12"/>
    </row>
    <row r="464" spans="1:3" ht="14.45">
      <c r="A464" s="12"/>
      <c r="B464" s="12"/>
      <c r="C464" s="12"/>
    </row>
    <row r="465" spans="1:3" ht="14.45">
      <c r="A465" s="12"/>
      <c r="B465" s="12"/>
      <c r="C465" s="12"/>
    </row>
    <row r="466" spans="1:3" ht="14.45">
      <c r="A466" s="12"/>
      <c r="B466" s="12"/>
      <c r="C466" s="12"/>
    </row>
    <row r="467" spans="1:3" ht="14.45">
      <c r="A467" s="12"/>
      <c r="B467" s="12"/>
      <c r="C467" s="12"/>
    </row>
    <row r="468" spans="1:3" ht="14.45">
      <c r="A468" s="12"/>
      <c r="B468" s="12"/>
      <c r="C468" s="12"/>
    </row>
    <row r="469" spans="1:3" ht="14.45">
      <c r="A469" s="12"/>
      <c r="B469" s="12"/>
      <c r="C469" s="12"/>
    </row>
    <row r="470" spans="1:3" ht="14.45">
      <c r="A470" s="12"/>
      <c r="B470" s="12"/>
      <c r="C470" s="12"/>
    </row>
    <row r="471" spans="1:3" ht="14.45">
      <c r="A471" s="12"/>
      <c r="B471" s="12"/>
      <c r="C471" s="12"/>
    </row>
    <row r="472" spans="1:3" ht="14.45">
      <c r="A472" s="12"/>
      <c r="B472" s="12"/>
      <c r="C472" s="12"/>
    </row>
    <row r="473" spans="1:3" ht="14.45">
      <c r="A473" s="12"/>
      <c r="B473" s="12"/>
      <c r="C473" s="12"/>
    </row>
    <row r="474" spans="1:3" ht="14.45">
      <c r="A474" s="12"/>
      <c r="B474" s="12"/>
      <c r="C474" s="12"/>
    </row>
    <row r="475" spans="1:3" ht="14.45">
      <c r="A475" s="12"/>
      <c r="B475" s="12"/>
      <c r="C475" s="12"/>
    </row>
    <row r="476" spans="1:3" ht="14.45">
      <c r="A476" s="12"/>
      <c r="B476" s="12"/>
      <c r="C476" s="12"/>
    </row>
    <row r="477" spans="1:3" ht="14.45">
      <c r="A477" s="12"/>
      <c r="B477" s="12"/>
      <c r="C477" s="12"/>
    </row>
    <row r="478" spans="1:3" ht="14.45">
      <c r="A478" s="12"/>
      <c r="B478" s="12"/>
      <c r="C478" s="12"/>
    </row>
    <row r="479" spans="1:3" ht="14.45">
      <c r="A479" s="12"/>
      <c r="B479" s="12"/>
      <c r="C479" s="12"/>
    </row>
    <row r="480" spans="1:3" ht="14.45">
      <c r="A480" s="12"/>
      <c r="B480" s="12"/>
      <c r="C480" s="12"/>
    </row>
    <row r="481" spans="1:3" ht="14.45">
      <c r="A481" s="12"/>
      <c r="B481" s="12"/>
      <c r="C481" s="12"/>
    </row>
    <row r="482" spans="1:3" ht="14.45">
      <c r="A482" s="12"/>
      <c r="B482" s="12"/>
      <c r="C482" s="12"/>
    </row>
    <row r="483" spans="1:3" ht="14.45">
      <c r="A483" s="12"/>
      <c r="B483" s="12"/>
      <c r="C483" s="12"/>
    </row>
    <row r="484" spans="1:3" ht="14.45">
      <c r="A484" s="12"/>
      <c r="B484" s="12"/>
      <c r="C484" s="12"/>
    </row>
    <row r="485" spans="1:3" ht="14.45">
      <c r="A485" s="12"/>
      <c r="B485" s="12"/>
      <c r="C485" s="12"/>
    </row>
    <row r="486" spans="1:3" ht="14.45">
      <c r="A486" s="12"/>
      <c r="B486" s="12"/>
      <c r="C486" s="12"/>
    </row>
    <row r="487" spans="1:3" ht="14.45">
      <c r="A487" s="12"/>
      <c r="B487" s="12"/>
      <c r="C487" s="12"/>
    </row>
    <row r="488" spans="1:3" ht="14.45">
      <c r="A488" s="12"/>
      <c r="B488" s="12"/>
      <c r="C488" s="12"/>
    </row>
    <row r="489" spans="1:3" ht="14.45">
      <c r="A489" s="12"/>
      <c r="B489" s="12"/>
      <c r="C489" s="12"/>
    </row>
    <row r="490" spans="1:3" ht="14.45">
      <c r="A490" s="12"/>
      <c r="B490" s="12"/>
      <c r="C490" s="12"/>
    </row>
    <row r="491" spans="1:3" ht="14.45">
      <c r="A491" s="12"/>
      <c r="B491" s="12"/>
      <c r="C491" s="12"/>
    </row>
    <row r="492" spans="1:3" ht="14.45">
      <c r="A492" s="12"/>
      <c r="B492" s="12"/>
      <c r="C492" s="12"/>
    </row>
    <row r="493" spans="1:3" ht="14.45">
      <c r="A493" s="12"/>
      <c r="B493" s="12"/>
      <c r="C493" s="12"/>
    </row>
    <row r="494" spans="1:3" ht="14.45">
      <c r="A494" s="12"/>
      <c r="B494" s="12"/>
      <c r="C494" s="12"/>
    </row>
    <row r="495" spans="1:3" ht="14.45">
      <c r="A495" s="12"/>
      <c r="B495" s="12"/>
      <c r="C495" s="12"/>
    </row>
    <row r="496" spans="1:3" ht="14.45">
      <c r="A496" s="12"/>
      <c r="B496" s="12"/>
      <c r="C496" s="12"/>
    </row>
    <row r="497" spans="1:3" ht="14.45">
      <c r="A497" s="12"/>
      <c r="B497" s="12"/>
      <c r="C497" s="12"/>
    </row>
    <row r="498" spans="1:3" ht="14.45">
      <c r="A498" s="12"/>
      <c r="B498" s="12"/>
      <c r="C498" s="12"/>
    </row>
    <row r="499" spans="1:3" ht="14.45">
      <c r="A499" s="12"/>
      <c r="B499" s="12"/>
      <c r="C499" s="12"/>
    </row>
    <row r="500" spans="1:3" ht="14.45">
      <c r="A500" s="12"/>
      <c r="B500" s="12"/>
      <c r="C500" s="12"/>
    </row>
    <row r="501" spans="1:3" ht="14.45">
      <c r="A501" s="12"/>
      <c r="B501" s="12"/>
      <c r="C501" s="12"/>
    </row>
    <row r="502" spans="1:3" ht="14.45">
      <c r="A502" s="12"/>
      <c r="B502" s="12"/>
      <c r="C502" s="12"/>
    </row>
    <row r="503" spans="1:3" ht="14.45">
      <c r="A503" s="12"/>
      <c r="B503" s="12"/>
      <c r="C503" s="12"/>
    </row>
    <row r="504" spans="1:3" ht="14.45">
      <c r="A504" s="12"/>
      <c r="B504" s="12"/>
      <c r="C504" s="12"/>
    </row>
    <row r="505" spans="1:3" ht="14.45">
      <c r="A505" s="12"/>
      <c r="B505" s="12"/>
      <c r="C505" s="12"/>
    </row>
    <row r="506" spans="1:3" ht="14.45">
      <c r="A506" s="12"/>
      <c r="B506" s="12"/>
      <c r="C506" s="12"/>
    </row>
    <row r="507" spans="1:3" ht="14.45">
      <c r="A507" s="12"/>
      <c r="B507" s="12"/>
      <c r="C507" s="12"/>
    </row>
    <row r="508" spans="1:3" ht="14.45">
      <c r="A508" s="12"/>
      <c r="B508" s="12"/>
      <c r="C508" s="12"/>
    </row>
    <row r="509" spans="1:3" ht="14.45">
      <c r="A509" s="12"/>
      <c r="B509" s="12"/>
      <c r="C509" s="12"/>
    </row>
    <row r="510" spans="1:3" ht="14.45">
      <c r="A510" s="12"/>
      <c r="B510" s="12"/>
      <c r="C510" s="12"/>
    </row>
    <row r="511" spans="1:3" ht="14.45">
      <c r="A511" s="12"/>
      <c r="B511" s="12"/>
      <c r="C511" s="12"/>
    </row>
    <row r="512" spans="1:3" ht="14.45">
      <c r="A512" s="12"/>
      <c r="B512" s="12"/>
      <c r="C512" s="12"/>
    </row>
    <row r="513" spans="1:3" ht="14.45">
      <c r="A513" s="12"/>
      <c r="B513" s="12"/>
      <c r="C513" s="12"/>
    </row>
    <row r="514" spans="1:3" ht="14.45">
      <c r="A514" s="12"/>
      <c r="B514" s="12"/>
      <c r="C514" s="12"/>
    </row>
    <row r="515" spans="1:3" ht="14.45">
      <c r="A515" s="12"/>
      <c r="B515" s="12"/>
      <c r="C515" s="12"/>
    </row>
    <row r="516" spans="1:3" ht="14.45">
      <c r="A516" s="12"/>
      <c r="B516" s="12"/>
      <c r="C516" s="12"/>
    </row>
    <row r="517" spans="1:3" ht="14.45">
      <c r="A517" s="12"/>
      <c r="B517" s="12"/>
      <c r="C517" s="12"/>
    </row>
    <row r="518" spans="1:3" ht="14.45">
      <c r="A518" s="12"/>
      <c r="B518" s="12"/>
      <c r="C518" s="12"/>
    </row>
    <row r="519" spans="1:3" ht="14.45">
      <c r="A519" s="12"/>
      <c r="B519" s="12"/>
      <c r="C519" s="12"/>
    </row>
    <row r="520" spans="1:3" ht="14.45">
      <c r="A520" s="12"/>
      <c r="B520" s="12"/>
      <c r="C520" s="12"/>
    </row>
    <row r="521" spans="1:3" ht="14.45">
      <c r="A521" s="12"/>
      <c r="B521" s="12"/>
      <c r="C521" s="12"/>
    </row>
    <row r="522" spans="1:3" ht="14.45">
      <c r="A522" s="12"/>
      <c r="B522" s="12"/>
      <c r="C522" s="12"/>
    </row>
    <row r="523" spans="1:3" ht="14.45">
      <c r="A523" s="12"/>
      <c r="B523" s="12"/>
      <c r="C523" s="12"/>
    </row>
    <row r="524" spans="1:3" ht="14.45">
      <c r="A524" s="12"/>
      <c r="B524" s="12"/>
      <c r="C524" s="12"/>
    </row>
    <row r="525" spans="1:3" ht="14.45">
      <c r="A525" s="12"/>
      <c r="B525" s="12"/>
      <c r="C525" s="12"/>
    </row>
    <row r="526" spans="1:3" ht="14.45">
      <c r="A526" s="12"/>
      <c r="B526" s="12"/>
      <c r="C526" s="12"/>
    </row>
    <row r="527" spans="1:3" ht="14.45">
      <c r="A527" s="12"/>
      <c r="B527" s="12"/>
      <c r="C527" s="12"/>
    </row>
    <row r="528" spans="1:3" ht="14.45">
      <c r="A528" s="12"/>
      <c r="B528" s="12"/>
      <c r="C528" s="12"/>
    </row>
    <row r="529" spans="1:3" ht="14.45">
      <c r="A529" s="12"/>
      <c r="B529" s="12"/>
      <c r="C529" s="12"/>
    </row>
    <row r="530" spans="1:3" ht="14.45">
      <c r="A530" s="12"/>
      <c r="B530" s="12"/>
      <c r="C530" s="12"/>
    </row>
    <row r="531" spans="1:3" ht="14.45">
      <c r="A531" s="12"/>
      <c r="B531" s="12"/>
      <c r="C531" s="12"/>
    </row>
    <row r="532" spans="1:3" ht="14.45">
      <c r="A532" s="12"/>
      <c r="B532" s="12"/>
      <c r="C532" s="12"/>
    </row>
    <row r="533" spans="1:3" ht="14.45">
      <c r="A533" s="12"/>
      <c r="B533" s="12"/>
      <c r="C533" s="12"/>
    </row>
    <row r="534" spans="1:3" ht="14.45">
      <c r="A534" s="12"/>
      <c r="B534" s="12"/>
      <c r="C534" s="12"/>
    </row>
    <row r="535" spans="1:3" ht="14.45">
      <c r="A535" s="12"/>
      <c r="B535" s="12"/>
      <c r="C535" s="12"/>
    </row>
    <row r="536" spans="1:3" ht="14.45">
      <c r="A536" s="12"/>
      <c r="B536" s="12"/>
      <c r="C536" s="12"/>
    </row>
    <row r="537" spans="1:3" ht="14.45">
      <c r="A537" s="12"/>
      <c r="B537" s="12"/>
      <c r="C537" s="12"/>
    </row>
    <row r="538" spans="1:3" ht="14.45">
      <c r="A538" s="12"/>
      <c r="B538" s="12"/>
      <c r="C538" s="12"/>
    </row>
    <row r="539" spans="1:3" ht="14.45">
      <c r="A539" s="12"/>
      <c r="B539" s="12"/>
      <c r="C539" s="12"/>
    </row>
    <row r="540" spans="1:3" ht="14.45">
      <c r="A540" s="12"/>
      <c r="B540" s="12"/>
      <c r="C540" s="12"/>
    </row>
    <row r="541" spans="1:3" ht="14.45">
      <c r="A541" s="12"/>
      <c r="B541" s="12"/>
      <c r="C541" s="12"/>
    </row>
    <row r="542" spans="1:3" ht="14.45">
      <c r="A542" s="12"/>
      <c r="B542" s="12"/>
      <c r="C542" s="12"/>
    </row>
    <row r="543" spans="1:3" ht="14.45">
      <c r="A543" s="12"/>
      <c r="B543" s="12"/>
      <c r="C543" s="12"/>
    </row>
    <row r="544" spans="1:3" ht="14.45">
      <c r="A544" s="12"/>
      <c r="B544" s="12"/>
      <c r="C544" s="12"/>
    </row>
    <row r="545" spans="1:3" ht="14.45">
      <c r="A545" s="12"/>
      <c r="B545" s="12"/>
      <c r="C545" s="12"/>
    </row>
    <row r="546" spans="1:3" ht="14.45">
      <c r="A546" s="12"/>
      <c r="B546" s="12"/>
      <c r="C546" s="12"/>
    </row>
    <row r="547" spans="1:3" ht="14.45">
      <c r="A547" s="12"/>
      <c r="B547" s="12"/>
      <c r="C547" s="12"/>
    </row>
    <row r="548" spans="1:3" ht="14.45">
      <c r="A548" s="12"/>
      <c r="B548" s="12"/>
      <c r="C548" s="12"/>
    </row>
    <row r="549" spans="1:3" ht="14.45">
      <c r="A549" s="12"/>
      <c r="B549" s="12"/>
      <c r="C549" s="12"/>
    </row>
    <row r="550" spans="1:3" ht="14.45">
      <c r="A550" s="12"/>
      <c r="B550" s="12"/>
      <c r="C550" s="12"/>
    </row>
    <row r="551" spans="1:3" ht="14.45">
      <c r="A551" s="12"/>
      <c r="B551" s="12"/>
      <c r="C551" s="12"/>
    </row>
    <row r="552" spans="1:3" ht="14.45">
      <c r="A552" s="12"/>
      <c r="B552" s="12"/>
      <c r="C552" s="12"/>
    </row>
    <row r="553" spans="1:3" ht="14.45">
      <c r="A553" s="12"/>
      <c r="B553" s="12"/>
      <c r="C553" s="12"/>
    </row>
    <row r="554" spans="1:3" ht="14.45">
      <c r="A554" s="12"/>
      <c r="B554" s="12"/>
      <c r="C554" s="12"/>
    </row>
    <row r="555" spans="1:3" ht="14.45">
      <c r="A555" s="12"/>
      <c r="B555" s="12"/>
      <c r="C555" s="12"/>
    </row>
    <row r="556" spans="1:3" ht="14.45">
      <c r="A556" s="12"/>
      <c r="B556" s="12"/>
      <c r="C556" s="12"/>
    </row>
    <row r="557" spans="1:3" ht="14.45">
      <c r="A557" s="12"/>
      <c r="B557" s="12"/>
      <c r="C557" s="12"/>
    </row>
    <row r="558" spans="1:3" ht="14.45">
      <c r="A558" s="12"/>
      <c r="B558" s="12"/>
      <c r="C558" s="12"/>
    </row>
    <row r="559" spans="1:3" ht="14.45">
      <c r="A559" s="12"/>
      <c r="B559" s="12"/>
      <c r="C559" s="12"/>
    </row>
    <row r="560" spans="1:3" ht="14.45">
      <c r="A560" s="12"/>
      <c r="B560" s="12"/>
      <c r="C560" s="12"/>
    </row>
    <row r="561" spans="1:3" ht="14.45">
      <c r="A561" s="12"/>
      <c r="B561" s="12"/>
      <c r="C561" s="12"/>
    </row>
    <row r="562" spans="1:3" ht="14.45">
      <c r="A562" s="12"/>
      <c r="B562" s="12"/>
      <c r="C562" s="12"/>
    </row>
    <row r="563" spans="1:3" ht="14.45">
      <c r="A563" s="12"/>
      <c r="B563" s="12"/>
      <c r="C563" s="12"/>
    </row>
    <row r="564" spans="1:3" ht="14.45">
      <c r="A564" s="12"/>
      <c r="B564" s="12"/>
      <c r="C564" s="12"/>
    </row>
    <row r="565" spans="1:3" ht="14.45">
      <c r="A565" s="12"/>
      <c r="B565" s="12"/>
      <c r="C565" s="12"/>
    </row>
    <row r="566" spans="1:3" ht="14.45">
      <c r="A566" s="12"/>
      <c r="B566" s="12"/>
      <c r="C566" s="12"/>
    </row>
    <row r="567" spans="1:3" ht="14.45">
      <c r="A567" s="12"/>
      <c r="B567" s="12"/>
      <c r="C567" s="12"/>
    </row>
    <row r="568" spans="1:3" ht="14.45">
      <c r="A568" s="12"/>
      <c r="B568" s="12"/>
      <c r="C568" s="12"/>
    </row>
    <row r="569" spans="1:3" ht="14.45">
      <c r="A569" s="12"/>
      <c r="B569" s="12"/>
      <c r="C569" s="12"/>
    </row>
    <row r="570" spans="1:3" ht="14.45">
      <c r="A570" s="12"/>
      <c r="B570" s="12"/>
      <c r="C570" s="12"/>
    </row>
    <row r="571" spans="1:3" ht="14.45">
      <c r="A571" s="12"/>
      <c r="B571" s="12"/>
      <c r="C571" s="12"/>
    </row>
    <row r="572" spans="1:3" ht="14.45">
      <c r="A572" s="12"/>
      <c r="B572" s="12"/>
      <c r="C572" s="12"/>
    </row>
    <row r="573" spans="1:3" ht="14.45">
      <c r="A573" s="12"/>
      <c r="B573" s="12"/>
      <c r="C573" s="12"/>
    </row>
    <row r="574" spans="1:3" ht="14.45">
      <c r="A574" s="12"/>
      <c r="B574" s="12"/>
      <c r="C574" s="12"/>
    </row>
    <row r="575" spans="1:3" ht="14.45">
      <c r="A575" s="12"/>
      <c r="B575" s="12"/>
      <c r="C575" s="12"/>
    </row>
    <row r="576" spans="1:3" ht="14.45">
      <c r="A576" s="12"/>
      <c r="B576" s="12"/>
      <c r="C576" s="12"/>
    </row>
    <row r="577" spans="1:3" ht="14.45">
      <c r="A577" s="12"/>
      <c r="B577" s="12"/>
      <c r="C577" s="12"/>
    </row>
    <row r="578" spans="1:3" ht="14.45">
      <c r="A578" s="12"/>
      <c r="B578" s="12"/>
      <c r="C578" s="12"/>
    </row>
    <row r="579" spans="1:3" ht="14.45">
      <c r="A579" s="12"/>
      <c r="B579" s="12"/>
      <c r="C579" s="12"/>
    </row>
    <row r="580" spans="1:3" ht="14.45">
      <c r="A580" s="12"/>
      <c r="B580" s="12"/>
      <c r="C580" s="12"/>
    </row>
    <row r="581" spans="1:3" ht="14.45">
      <c r="A581" s="12"/>
      <c r="B581" s="12"/>
      <c r="C581" s="12"/>
    </row>
    <row r="582" spans="1:3" ht="14.45">
      <c r="A582" s="12"/>
      <c r="B582" s="12"/>
      <c r="C582" s="12"/>
    </row>
    <row r="583" spans="1:3" ht="14.45">
      <c r="A583" s="12"/>
      <c r="B583" s="12"/>
      <c r="C583" s="12"/>
    </row>
    <row r="584" spans="1:3" ht="14.45">
      <c r="A584" s="12"/>
      <c r="B584" s="12"/>
      <c r="C584" s="12"/>
    </row>
    <row r="585" spans="1:3" ht="14.45">
      <c r="A585" s="12"/>
      <c r="B585" s="12"/>
      <c r="C585" s="12"/>
    </row>
    <row r="586" spans="1:3" ht="14.45">
      <c r="A586" s="12"/>
      <c r="B586" s="12"/>
      <c r="C586" s="12"/>
    </row>
    <row r="587" spans="1:3" ht="14.45">
      <c r="A587" s="12"/>
      <c r="B587" s="12"/>
      <c r="C587" s="12"/>
    </row>
    <row r="588" spans="1:3" ht="14.45">
      <c r="A588" s="12"/>
      <c r="B588" s="12"/>
      <c r="C588" s="12"/>
    </row>
    <row r="589" spans="1:3" ht="14.45">
      <c r="A589" s="12"/>
      <c r="B589" s="12"/>
      <c r="C589" s="12"/>
    </row>
    <row r="590" spans="1:3" ht="14.45">
      <c r="A590" s="12"/>
      <c r="B590" s="12"/>
      <c r="C590" s="12"/>
    </row>
    <row r="591" spans="1:3" ht="14.45">
      <c r="A591" s="12"/>
      <c r="B591" s="12"/>
      <c r="C591" s="12"/>
    </row>
    <row r="592" spans="1:3" ht="14.45">
      <c r="A592" s="12"/>
      <c r="B592" s="12"/>
      <c r="C592" s="12"/>
    </row>
    <row r="593" spans="1:3" ht="14.45">
      <c r="A593" s="12"/>
      <c r="B593" s="12"/>
      <c r="C593" s="12"/>
    </row>
    <row r="594" spans="1:3" ht="14.45">
      <c r="A594" s="12"/>
      <c r="B594" s="12"/>
      <c r="C594" s="12"/>
    </row>
    <row r="595" spans="1:3" ht="14.45">
      <c r="A595" s="12"/>
      <c r="B595" s="12"/>
      <c r="C595" s="12"/>
    </row>
    <row r="596" spans="1:3" ht="14.45">
      <c r="A596" s="12"/>
      <c r="B596" s="12"/>
      <c r="C596" s="12"/>
    </row>
    <row r="597" spans="1:3" ht="14.45">
      <c r="A597" s="12"/>
      <c r="B597" s="12"/>
      <c r="C597" s="12"/>
    </row>
    <row r="598" spans="1:3" ht="14.45">
      <c r="A598" s="12"/>
      <c r="B598" s="12"/>
      <c r="C598" s="12"/>
    </row>
    <row r="599" spans="1:3" ht="14.45">
      <c r="A599" s="12"/>
      <c r="B599" s="12"/>
      <c r="C599" s="12"/>
    </row>
    <row r="600" spans="1:3" ht="14.45">
      <c r="A600" s="12"/>
      <c r="B600" s="12"/>
      <c r="C600" s="12"/>
    </row>
    <row r="601" spans="1:3" ht="14.45">
      <c r="A601" s="12"/>
      <c r="B601" s="12"/>
      <c r="C601" s="12"/>
    </row>
    <row r="602" spans="1:3" ht="14.45">
      <c r="A602" s="12"/>
      <c r="B602" s="12"/>
      <c r="C602" s="12"/>
    </row>
    <row r="603" spans="1:3" ht="14.45">
      <c r="A603" s="12"/>
      <c r="B603" s="12"/>
      <c r="C603" s="12"/>
    </row>
    <row r="604" spans="1:3" ht="14.45">
      <c r="A604" s="12"/>
      <c r="B604" s="12"/>
      <c r="C604" s="12"/>
    </row>
    <row r="605" spans="1:3" ht="14.45">
      <c r="A605" s="12"/>
      <c r="B605" s="12"/>
      <c r="C605" s="12"/>
    </row>
    <row r="606" spans="1:3" ht="14.45">
      <c r="A606" s="12"/>
      <c r="B606" s="12"/>
      <c r="C606" s="12"/>
    </row>
    <row r="607" spans="1:3" ht="14.45">
      <c r="A607" s="12"/>
      <c r="B607" s="12"/>
      <c r="C607" s="12"/>
    </row>
    <row r="608" spans="1:3" ht="14.45">
      <c r="A608" s="12"/>
      <c r="B608" s="12"/>
      <c r="C608" s="12"/>
    </row>
    <row r="609" spans="1:3" ht="14.45">
      <c r="A609" s="12"/>
      <c r="B609" s="12"/>
      <c r="C609" s="12"/>
    </row>
    <row r="610" spans="1:3" ht="14.45">
      <c r="A610" s="12"/>
      <c r="B610" s="12"/>
      <c r="C610" s="12"/>
    </row>
    <row r="611" spans="1:3" ht="14.45">
      <c r="A611" s="12"/>
      <c r="B611" s="12"/>
      <c r="C611" s="12"/>
    </row>
    <row r="612" spans="1:3" ht="14.45">
      <c r="A612" s="12"/>
      <c r="B612" s="12"/>
      <c r="C612" s="12"/>
    </row>
    <row r="613" spans="1:3" ht="14.45">
      <c r="A613" s="12"/>
      <c r="B613" s="12"/>
      <c r="C613" s="12"/>
    </row>
    <row r="614" spans="1:3" ht="14.45">
      <c r="A614" s="12"/>
      <c r="B614" s="12"/>
      <c r="C614" s="12"/>
    </row>
    <row r="615" spans="1:3" ht="14.45">
      <c r="A615" s="12"/>
      <c r="B615" s="12"/>
      <c r="C615" s="12"/>
    </row>
    <row r="616" spans="1:3" ht="14.45">
      <c r="A616" s="12"/>
      <c r="B616" s="12"/>
      <c r="C616" s="12"/>
    </row>
    <row r="617" spans="1:3" ht="14.45">
      <c r="A617" s="12"/>
      <c r="B617" s="12"/>
      <c r="C617" s="12"/>
    </row>
    <row r="618" spans="1:3" ht="14.45">
      <c r="A618" s="12"/>
      <c r="B618" s="12"/>
      <c r="C618" s="12"/>
    </row>
    <row r="619" spans="1:3" ht="14.45">
      <c r="A619" s="12"/>
      <c r="B619" s="12"/>
      <c r="C619" s="12"/>
    </row>
    <row r="620" spans="1:3" ht="14.45">
      <c r="A620" s="12"/>
      <c r="B620" s="12"/>
      <c r="C620" s="12"/>
    </row>
    <row r="621" spans="1:3" ht="14.45">
      <c r="A621" s="12"/>
      <c r="B621" s="12"/>
      <c r="C621" s="12"/>
    </row>
    <row r="622" spans="1:3" ht="14.45">
      <c r="A622" s="12"/>
      <c r="B622" s="12"/>
      <c r="C622" s="12"/>
    </row>
    <row r="623" spans="1:3" ht="14.45">
      <c r="A623" s="12"/>
      <c r="B623" s="12"/>
      <c r="C623" s="12"/>
    </row>
    <row r="624" spans="1:3" ht="14.45">
      <c r="A624" s="12"/>
      <c r="B624" s="12"/>
      <c r="C624" s="12"/>
    </row>
    <row r="625" spans="1:3" ht="14.45">
      <c r="A625" s="12"/>
      <c r="B625" s="12"/>
      <c r="C625" s="12"/>
    </row>
    <row r="626" spans="1:3" ht="14.45">
      <c r="A626" s="12"/>
      <c r="B626" s="12"/>
      <c r="C626" s="12"/>
    </row>
    <row r="627" spans="1:3" ht="14.45">
      <c r="A627" s="12"/>
      <c r="B627" s="12"/>
      <c r="C627" s="12"/>
    </row>
    <row r="628" spans="1:3" ht="14.45">
      <c r="A628" s="12"/>
      <c r="B628" s="12"/>
      <c r="C628" s="12"/>
    </row>
    <row r="629" spans="1:3" ht="14.45">
      <c r="A629" s="12"/>
      <c r="B629" s="12"/>
      <c r="C629" s="12"/>
    </row>
    <row r="630" spans="1:3" ht="14.45">
      <c r="A630" s="12"/>
      <c r="B630" s="12"/>
      <c r="C630" s="12"/>
    </row>
    <row r="631" spans="1:3" ht="14.45">
      <c r="A631" s="12"/>
      <c r="B631" s="12"/>
      <c r="C631" s="12"/>
    </row>
    <row r="632" spans="1:3" ht="14.45">
      <c r="A632" s="12"/>
      <c r="B632" s="12"/>
      <c r="C632" s="12"/>
    </row>
    <row r="633" spans="1:3" ht="14.45">
      <c r="A633" s="12"/>
      <c r="B633" s="12"/>
      <c r="C633" s="12"/>
    </row>
    <row r="634" spans="1:3" ht="14.45">
      <c r="A634" s="12"/>
      <c r="B634" s="12"/>
      <c r="C634" s="12"/>
    </row>
    <row r="635" spans="1:3" ht="14.45">
      <c r="A635" s="12"/>
      <c r="B635" s="12"/>
      <c r="C635" s="12"/>
    </row>
    <row r="636" spans="1:3" ht="14.45">
      <c r="A636" s="12"/>
      <c r="B636" s="12"/>
      <c r="C636" s="12"/>
    </row>
    <row r="637" spans="1:3" ht="14.45">
      <c r="A637" s="12"/>
      <c r="B637" s="12"/>
      <c r="C637" s="12"/>
    </row>
    <row r="638" spans="1:3" ht="14.45">
      <c r="A638" s="12"/>
      <c r="B638" s="12"/>
      <c r="C638" s="12"/>
    </row>
    <row r="639" spans="1:3" ht="14.45">
      <c r="A639" s="12"/>
      <c r="B639" s="12"/>
      <c r="C639" s="12"/>
    </row>
    <row r="640" spans="1:3" ht="14.45">
      <c r="A640" s="12"/>
      <c r="B640" s="12"/>
      <c r="C640" s="12"/>
    </row>
    <row r="641" spans="1:3" ht="14.45">
      <c r="A641" s="12"/>
      <c r="B641" s="12"/>
      <c r="C641" s="12"/>
    </row>
    <row r="642" spans="1:3" ht="14.45">
      <c r="A642" s="12"/>
      <c r="B642" s="12"/>
      <c r="C642" s="12"/>
    </row>
    <row r="643" spans="1:3" ht="14.45">
      <c r="A643" s="12"/>
      <c r="B643" s="12"/>
      <c r="C643" s="12"/>
    </row>
    <row r="644" spans="1:3" ht="14.45">
      <c r="A644" s="12"/>
      <c r="B644" s="12"/>
      <c r="C644" s="12"/>
    </row>
    <row r="645" spans="1:3" ht="14.45">
      <c r="A645" s="12"/>
      <c r="B645" s="12"/>
      <c r="C645" s="12"/>
    </row>
    <row r="646" spans="1:3" ht="14.45">
      <c r="A646" s="12"/>
      <c r="B646" s="12"/>
      <c r="C646" s="12"/>
    </row>
    <row r="647" spans="1:3" ht="14.45">
      <c r="A647" s="12"/>
      <c r="B647" s="12"/>
      <c r="C647" s="12"/>
    </row>
    <row r="648" spans="1:3" ht="14.45">
      <c r="A648" s="12"/>
      <c r="B648" s="12"/>
      <c r="C648" s="12"/>
    </row>
    <row r="649" spans="1:3" ht="14.45">
      <c r="A649" s="12"/>
      <c r="B649" s="12"/>
      <c r="C649" s="12"/>
    </row>
    <row r="650" spans="1:3" ht="14.45">
      <c r="A650" s="12"/>
      <c r="B650" s="12"/>
      <c r="C650" s="12"/>
    </row>
    <row r="651" spans="1:3" ht="14.45">
      <c r="A651" s="12"/>
      <c r="B651" s="12"/>
      <c r="C651" s="12"/>
    </row>
    <row r="652" spans="1:3" ht="14.45">
      <c r="A652" s="12"/>
      <c r="B652" s="12"/>
      <c r="C652" s="12"/>
    </row>
    <row r="653" spans="1:3" ht="14.45">
      <c r="A653" s="12"/>
      <c r="B653" s="12"/>
      <c r="C653" s="12"/>
    </row>
    <row r="654" spans="1:3" ht="14.45">
      <c r="A654" s="12"/>
      <c r="B654" s="12"/>
      <c r="C654" s="12"/>
    </row>
    <row r="655" spans="1:3" ht="14.45">
      <c r="A655" s="12"/>
      <c r="B655" s="12"/>
      <c r="C655" s="12"/>
    </row>
    <row r="656" spans="1:3" ht="14.45">
      <c r="A656" s="12"/>
      <c r="B656" s="12"/>
      <c r="C656" s="12"/>
    </row>
    <row r="657" spans="1:3" ht="14.45">
      <c r="A657" s="12"/>
      <c r="B657" s="12"/>
      <c r="C657" s="12"/>
    </row>
    <row r="658" spans="1:3" ht="14.45">
      <c r="A658" s="12"/>
      <c r="B658" s="12"/>
      <c r="C658" s="12"/>
    </row>
    <row r="659" spans="1:3" ht="14.45">
      <c r="A659" s="12"/>
      <c r="B659" s="12"/>
      <c r="C659" s="12"/>
    </row>
    <row r="660" spans="1:3" ht="14.45">
      <c r="A660" s="12"/>
      <c r="B660" s="12"/>
      <c r="C660" s="12"/>
    </row>
    <row r="661" spans="1:3" ht="14.45">
      <c r="A661" s="12"/>
      <c r="B661" s="12"/>
      <c r="C661" s="12"/>
    </row>
    <row r="662" spans="1:3" ht="14.45">
      <c r="A662" s="12"/>
      <c r="B662" s="12"/>
      <c r="C662" s="12"/>
    </row>
    <row r="663" spans="1:3" ht="14.45">
      <c r="A663" s="12"/>
      <c r="B663" s="12"/>
      <c r="C663" s="12"/>
    </row>
    <row r="664" spans="1:3" ht="14.45">
      <c r="A664" s="12"/>
      <c r="B664" s="12"/>
      <c r="C664" s="12"/>
    </row>
    <row r="665" spans="1:3" ht="14.45">
      <c r="A665" s="12"/>
      <c r="B665" s="12"/>
      <c r="C665" s="12"/>
    </row>
    <row r="666" spans="1:3" ht="14.45">
      <c r="A666" s="12"/>
      <c r="B666" s="12"/>
      <c r="C666" s="12"/>
    </row>
    <row r="667" spans="1:3" ht="14.45">
      <c r="A667" s="12"/>
      <c r="B667" s="12"/>
      <c r="C667" s="12"/>
    </row>
    <row r="668" spans="1:3" ht="14.45">
      <c r="A668" s="12"/>
      <c r="B668" s="12"/>
      <c r="C668" s="12"/>
    </row>
    <row r="669" spans="1:3" ht="14.45">
      <c r="A669" s="12"/>
      <c r="B669" s="12"/>
      <c r="C669" s="12"/>
    </row>
    <row r="670" spans="1:3" ht="14.45">
      <c r="A670" s="12"/>
      <c r="B670" s="12"/>
      <c r="C670" s="12"/>
    </row>
    <row r="671" spans="1:3" ht="14.45">
      <c r="A671" s="12"/>
      <c r="B671" s="12"/>
      <c r="C671" s="12"/>
    </row>
    <row r="672" spans="1:3" ht="14.45">
      <c r="A672" s="12"/>
      <c r="B672" s="12"/>
      <c r="C672" s="12"/>
    </row>
    <row r="673" spans="1:3" ht="14.45">
      <c r="A673" s="12"/>
      <c r="B673" s="12"/>
      <c r="C673" s="12"/>
    </row>
    <row r="674" spans="1:3" ht="14.45">
      <c r="A674" s="12"/>
      <c r="B674" s="12"/>
      <c r="C674" s="12"/>
    </row>
    <row r="675" spans="1:3" ht="14.45">
      <c r="A675" s="12"/>
      <c r="B675" s="12"/>
      <c r="C675" s="12"/>
    </row>
    <row r="676" spans="1:3" ht="14.45">
      <c r="A676" s="12"/>
      <c r="B676" s="12"/>
      <c r="C676" s="12"/>
    </row>
    <row r="677" spans="1:3" ht="14.45">
      <c r="A677" s="12"/>
      <c r="B677" s="12"/>
      <c r="C677" s="12"/>
    </row>
    <row r="678" spans="1:3" ht="14.45">
      <c r="A678" s="12"/>
      <c r="B678" s="12"/>
      <c r="C678" s="12"/>
    </row>
    <row r="679" spans="1:3" ht="14.45">
      <c r="A679" s="12"/>
      <c r="B679" s="12"/>
      <c r="C679" s="12"/>
    </row>
    <row r="680" spans="1:3" ht="14.45">
      <c r="A680" s="12"/>
      <c r="B680" s="12"/>
      <c r="C680" s="12"/>
    </row>
    <row r="681" spans="1:3" ht="14.45">
      <c r="A681" s="12"/>
      <c r="B681" s="12"/>
      <c r="C681" s="12"/>
    </row>
    <row r="682" spans="1:3" ht="14.45">
      <c r="A682" s="12"/>
      <c r="B682" s="12"/>
      <c r="C682" s="12"/>
    </row>
    <row r="683" spans="1:3" ht="14.45">
      <c r="A683" s="12"/>
      <c r="B683" s="12"/>
      <c r="C683" s="12"/>
    </row>
    <row r="684" spans="1:3" ht="14.45">
      <c r="A684" s="12"/>
      <c r="B684" s="12"/>
      <c r="C684" s="12"/>
    </row>
    <row r="685" spans="1:3" ht="14.45">
      <c r="A685" s="12"/>
      <c r="B685" s="12"/>
      <c r="C685" s="12"/>
    </row>
    <row r="686" spans="1:3" ht="14.45">
      <c r="A686" s="12"/>
      <c r="B686" s="12"/>
      <c r="C686" s="12"/>
    </row>
    <row r="687" spans="1:3" ht="14.45">
      <c r="A687" s="12"/>
      <c r="B687" s="12"/>
      <c r="C687" s="12"/>
    </row>
    <row r="688" spans="1:3" ht="14.45">
      <c r="A688" s="12"/>
      <c r="B688" s="12"/>
      <c r="C688" s="12"/>
    </row>
    <row r="689" spans="1:3" ht="14.45">
      <c r="A689" s="12"/>
      <c r="B689" s="12"/>
      <c r="C689" s="12"/>
    </row>
    <row r="690" spans="1:3" ht="14.45">
      <c r="A690" s="12"/>
      <c r="B690" s="12"/>
      <c r="C690" s="12"/>
    </row>
    <row r="691" spans="1:3" ht="14.45">
      <c r="A691" s="12"/>
      <c r="B691" s="12"/>
      <c r="C691" s="12"/>
    </row>
    <row r="692" spans="1:3" ht="14.45">
      <c r="A692" s="12"/>
      <c r="B692" s="12"/>
      <c r="C692" s="12"/>
    </row>
    <row r="693" spans="1:3" ht="14.45">
      <c r="A693" s="12"/>
      <c r="B693" s="12"/>
      <c r="C693" s="12"/>
    </row>
    <row r="694" spans="1:3" ht="14.45">
      <c r="A694" s="12"/>
      <c r="B694" s="12"/>
      <c r="C694" s="12"/>
    </row>
    <row r="695" spans="1:3" ht="14.45">
      <c r="A695" s="12"/>
      <c r="B695" s="12"/>
      <c r="C695" s="12"/>
    </row>
    <row r="696" spans="1:3" ht="14.45">
      <c r="A696" s="12"/>
      <c r="B696" s="12"/>
      <c r="C696" s="12"/>
    </row>
    <row r="697" spans="1:3" ht="14.45">
      <c r="A697" s="12"/>
      <c r="B697" s="12"/>
      <c r="C697" s="12"/>
    </row>
    <row r="698" spans="1:3" ht="14.45">
      <c r="A698" s="12"/>
      <c r="B698" s="12"/>
      <c r="C698" s="12"/>
    </row>
    <row r="699" spans="1:3" ht="14.45">
      <c r="A699" s="12"/>
      <c r="B699" s="12"/>
      <c r="C699" s="12"/>
    </row>
    <row r="700" spans="1:3" ht="14.45">
      <c r="A700" s="12"/>
      <c r="B700" s="12"/>
      <c r="C700" s="12"/>
    </row>
    <row r="701" spans="1:3" ht="14.45">
      <c r="A701" s="12"/>
      <c r="B701" s="12"/>
      <c r="C701" s="12"/>
    </row>
    <row r="702" spans="1:3" ht="14.45">
      <c r="A702" s="12"/>
      <c r="B702" s="12"/>
      <c r="C702" s="12"/>
    </row>
    <row r="703" spans="1:3" ht="14.45">
      <c r="A703" s="12"/>
      <c r="B703" s="12"/>
      <c r="C703" s="12"/>
    </row>
    <row r="704" spans="1:3" ht="14.45">
      <c r="A704" s="12"/>
      <c r="B704" s="12"/>
      <c r="C704" s="12"/>
    </row>
    <row r="705" spans="1:3" ht="14.45">
      <c r="A705" s="12"/>
      <c r="B705" s="12"/>
      <c r="C705" s="12"/>
    </row>
    <row r="706" spans="1:3" ht="14.45">
      <c r="A706" s="12"/>
      <c r="B706" s="12"/>
      <c r="C706" s="12"/>
    </row>
    <row r="707" spans="1:3" ht="14.45">
      <c r="A707" s="12"/>
      <c r="B707" s="12"/>
      <c r="C707" s="12"/>
    </row>
    <row r="708" spans="1:3" ht="14.45">
      <c r="A708" s="12"/>
      <c r="B708" s="12"/>
      <c r="C708" s="12"/>
    </row>
    <row r="709" spans="1:3" ht="14.45">
      <c r="A709" s="12"/>
      <c r="B709" s="12"/>
      <c r="C709" s="12"/>
    </row>
    <row r="710" spans="1:3" ht="14.45">
      <c r="A710" s="12"/>
      <c r="B710" s="12"/>
      <c r="C710" s="12"/>
    </row>
    <row r="711" spans="1:3" ht="14.45">
      <c r="A711" s="12"/>
      <c r="B711" s="12"/>
      <c r="C711" s="12"/>
    </row>
    <row r="712" spans="1:3" ht="14.45">
      <c r="A712" s="12"/>
      <c r="B712" s="12"/>
      <c r="C712" s="12"/>
    </row>
    <row r="713" spans="1:3" ht="14.45">
      <c r="A713" s="12"/>
      <c r="B713" s="12"/>
      <c r="C713" s="12"/>
    </row>
    <row r="714" spans="1:3" ht="14.45">
      <c r="A714" s="12"/>
      <c r="B714" s="12"/>
      <c r="C714" s="12"/>
    </row>
    <row r="715" spans="1:3" ht="14.45">
      <c r="A715" s="12"/>
      <c r="B715" s="12"/>
      <c r="C715" s="12"/>
    </row>
    <row r="716" spans="1:3" ht="14.45">
      <c r="A716" s="12"/>
      <c r="B716" s="12"/>
      <c r="C716" s="12"/>
    </row>
    <row r="717" spans="1:3" ht="14.45">
      <c r="A717" s="12"/>
      <c r="B717" s="12"/>
      <c r="C717" s="12"/>
    </row>
    <row r="718" spans="1:3" ht="14.45">
      <c r="A718" s="12"/>
      <c r="B718" s="12"/>
      <c r="C718" s="12"/>
    </row>
    <row r="719" spans="1:3" ht="14.45">
      <c r="A719" s="12"/>
      <c r="B719" s="12"/>
      <c r="C719" s="12"/>
    </row>
    <row r="720" spans="1:3" ht="14.45">
      <c r="A720" s="12"/>
      <c r="B720" s="12"/>
      <c r="C720" s="12"/>
    </row>
    <row r="721" spans="1:3" ht="14.45">
      <c r="A721" s="12"/>
      <c r="B721" s="12"/>
      <c r="C721" s="12"/>
    </row>
    <row r="722" spans="1:3" ht="14.45">
      <c r="A722" s="12"/>
      <c r="B722" s="12"/>
      <c r="C722" s="12"/>
    </row>
    <row r="723" spans="1:3" ht="14.45">
      <c r="A723" s="12"/>
      <c r="B723" s="12"/>
      <c r="C723" s="12"/>
    </row>
    <row r="724" spans="1:3" ht="14.45">
      <c r="A724" s="12"/>
      <c r="B724" s="12"/>
      <c r="C724" s="12"/>
    </row>
    <row r="725" spans="1:3" ht="14.45">
      <c r="A725" s="12"/>
      <c r="B725" s="12"/>
      <c r="C725" s="12"/>
    </row>
    <row r="726" spans="1:3" ht="14.45">
      <c r="A726" s="12"/>
      <c r="B726" s="12"/>
      <c r="C726" s="12"/>
    </row>
    <row r="727" spans="1:3" ht="14.45">
      <c r="A727" s="12"/>
      <c r="B727" s="12"/>
      <c r="C727" s="12"/>
    </row>
    <row r="728" spans="1:3" ht="14.45">
      <c r="A728" s="12"/>
      <c r="B728" s="12"/>
      <c r="C728" s="12"/>
    </row>
    <row r="729" spans="1:3" ht="14.45">
      <c r="A729" s="12"/>
      <c r="B729" s="12"/>
      <c r="C729" s="12"/>
    </row>
    <row r="730" spans="1:3" ht="14.45">
      <c r="A730" s="12"/>
      <c r="B730" s="12"/>
      <c r="C730" s="12"/>
    </row>
    <row r="731" spans="1:3" ht="14.45">
      <c r="A731" s="12"/>
      <c r="B731" s="12"/>
      <c r="C731" s="12"/>
    </row>
    <row r="732" spans="1:3" ht="14.45">
      <c r="A732" s="12"/>
      <c r="B732" s="12"/>
      <c r="C732" s="12"/>
    </row>
    <row r="733" spans="1:3" ht="14.45">
      <c r="A733" s="12"/>
      <c r="B733" s="12"/>
      <c r="C733" s="12"/>
    </row>
    <row r="734" spans="1:3" ht="14.45">
      <c r="A734" s="12"/>
      <c r="B734" s="12"/>
      <c r="C734" s="12"/>
    </row>
    <row r="735" spans="1:3" ht="14.45">
      <c r="A735" s="12"/>
      <c r="B735" s="12"/>
      <c r="C735" s="12"/>
    </row>
    <row r="736" spans="1:3" ht="14.45">
      <c r="A736" s="12"/>
      <c r="B736" s="12"/>
      <c r="C736" s="12"/>
    </row>
    <row r="737" spans="1:3" ht="14.45">
      <c r="A737" s="12"/>
      <c r="B737" s="12"/>
      <c r="C737" s="12"/>
    </row>
    <row r="738" spans="1:3" ht="14.45">
      <c r="A738" s="12"/>
      <c r="B738" s="12"/>
      <c r="C738" s="12"/>
    </row>
    <row r="739" spans="1:3" ht="14.45">
      <c r="A739" s="12"/>
      <c r="B739" s="12"/>
      <c r="C739" s="12"/>
    </row>
    <row r="740" spans="1:3" ht="14.45">
      <c r="A740" s="12"/>
      <c r="B740" s="12"/>
      <c r="C740" s="12"/>
    </row>
    <row r="741" spans="1:3" ht="14.45">
      <c r="A741" s="12"/>
      <c r="B741" s="12"/>
      <c r="C741" s="12"/>
    </row>
    <row r="742" spans="1:3" ht="14.45">
      <c r="A742" s="12"/>
      <c r="B742" s="12"/>
      <c r="C742" s="12"/>
    </row>
    <row r="743" spans="1:3" ht="14.45">
      <c r="A743" s="12"/>
      <c r="B743" s="12"/>
      <c r="C743" s="12"/>
    </row>
    <row r="744" spans="1:3" ht="14.45">
      <c r="A744" s="12"/>
      <c r="B744" s="12"/>
      <c r="C744" s="12"/>
    </row>
    <row r="745" spans="1:3" ht="14.45">
      <c r="A745" s="12"/>
      <c r="B745" s="12"/>
      <c r="C745" s="12"/>
    </row>
    <row r="746" spans="1:3" ht="14.45">
      <c r="A746" s="12"/>
      <c r="B746" s="12"/>
      <c r="C746" s="12"/>
    </row>
    <row r="747" spans="1:3" ht="14.45">
      <c r="A747" s="12"/>
      <c r="B747" s="12"/>
      <c r="C747" s="12"/>
    </row>
    <row r="748" spans="1:3" ht="14.45">
      <c r="A748" s="12"/>
      <c r="B748" s="12"/>
      <c r="C748" s="12"/>
    </row>
    <row r="749" spans="1:3" ht="14.45">
      <c r="A749" s="12"/>
      <c r="B749" s="12"/>
      <c r="C749" s="12"/>
    </row>
    <row r="750" spans="1:3" ht="14.45">
      <c r="A750" s="12"/>
      <c r="B750" s="12"/>
      <c r="C750" s="12"/>
    </row>
    <row r="751" spans="1:3" ht="14.45">
      <c r="A751" s="12"/>
      <c r="B751" s="12"/>
      <c r="C751" s="12"/>
    </row>
    <row r="752" spans="1:3" ht="14.45">
      <c r="A752" s="12"/>
      <c r="B752" s="12"/>
      <c r="C752" s="12"/>
    </row>
    <row r="753" spans="1:3" ht="14.45">
      <c r="A753" s="12"/>
      <c r="B753" s="12"/>
      <c r="C753" s="12"/>
    </row>
    <row r="754" spans="1:3" ht="14.45">
      <c r="A754" s="12"/>
      <c r="B754" s="12"/>
      <c r="C754" s="12"/>
    </row>
    <row r="755" spans="1:3" ht="14.45">
      <c r="A755" s="12"/>
      <c r="B755" s="12"/>
      <c r="C755" s="12"/>
    </row>
    <row r="756" spans="1:3" ht="14.45">
      <c r="A756" s="12"/>
      <c r="B756" s="12"/>
      <c r="C756" s="12"/>
    </row>
    <row r="757" spans="1:3" ht="14.45">
      <c r="A757" s="12"/>
      <c r="B757" s="12"/>
      <c r="C757" s="12"/>
    </row>
    <row r="758" spans="1:3" ht="14.45">
      <c r="A758" s="12"/>
      <c r="B758" s="12"/>
      <c r="C758" s="12"/>
    </row>
    <row r="759" spans="1:3" ht="14.45">
      <c r="A759" s="12"/>
      <c r="B759" s="12"/>
      <c r="C759" s="12"/>
    </row>
    <row r="760" spans="1:3" ht="14.45">
      <c r="A760" s="12"/>
      <c r="B760" s="12"/>
      <c r="C760" s="12"/>
    </row>
    <row r="761" spans="1:3" ht="14.45">
      <c r="A761" s="12"/>
      <c r="B761" s="12"/>
      <c r="C761" s="12"/>
    </row>
    <row r="762" spans="1:3" ht="14.45">
      <c r="A762" s="12"/>
      <c r="B762" s="12"/>
      <c r="C762" s="12"/>
    </row>
    <row r="763" spans="1:3" ht="14.45">
      <c r="A763" s="12"/>
      <c r="B763" s="12"/>
      <c r="C763" s="12"/>
    </row>
    <row r="764" spans="1:3" ht="14.45">
      <c r="A764" s="12"/>
      <c r="B764" s="12"/>
      <c r="C764" s="12"/>
    </row>
    <row r="765" spans="1:3" ht="14.45">
      <c r="A765" s="12"/>
      <c r="B765" s="12"/>
      <c r="C765" s="12"/>
    </row>
    <row r="766" spans="1:3" ht="14.45">
      <c r="A766" s="12"/>
      <c r="B766" s="12"/>
      <c r="C766" s="12"/>
    </row>
    <row r="767" spans="1:3" ht="14.45">
      <c r="A767" s="12"/>
      <c r="B767" s="12"/>
      <c r="C767" s="12"/>
    </row>
    <row r="768" spans="1:3" ht="14.45">
      <c r="A768" s="12"/>
      <c r="B768" s="12"/>
      <c r="C768" s="12"/>
    </row>
    <row r="769" spans="1:3" ht="14.45">
      <c r="A769" s="12"/>
      <c r="B769" s="12"/>
      <c r="C769" s="12"/>
    </row>
    <row r="770" spans="1:3" ht="14.45">
      <c r="A770" s="12"/>
      <c r="B770" s="12"/>
      <c r="C770" s="12"/>
    </row>
    <row r="771" spans="1:3" ht="14.45">
      <c r="A771" s="12"/>
      <c r="B771" s="12"/>
      <c r="C771" s="12"/>
    </row>
    <row r="772" spans="1:3" ht="14.45">
      <c r="A772" s="12"/>
      <c r="B772" s="12"/>
      <c r="C772" s="12"/>
    </row>
    <row r="773" spans="1:3" ht="14.45">
      <c r="A773" s="12"/>
      <c r="B773" s="12"/>
      <c r="C773" s="12"/>
    </row>
    <row r="774" spans="1:3" ht="14.45">
      <c r="A774" s="12"/>
      <c r="B774" s="12"/>
      <c r="C774" s="12"/>
    </row>
    <row r="775" spans="1:3" ht="14.45">
      <c r="A775" s="12"/>
      <c r="B775" s="12"/>
      <c r="C775" s="12"/>
    </row>
    <row r="776" spans="1:3" ht="14.45">
      <c r="A776" s="12"/>
      <c r="B776" s="12"/>
      <c r="C776" s="12"/>
    </row>
    <row r="777" spans="1:3" ht="14.45">
      <c r="A777" s="12"/>
      <c r="B777" s="12"/>
      <c r="C777" s="12"/>
    </row>
    <row r="778" spans="1:3" ht="14.45">
      <c r="A778" s="12"/>
      <c r="B778" s="12"/>
      <c r="C778" s="12"/>
    </row>
    <row r="779" spans="1:3" ht="14.45">
      <c r="A779" s="12"/>
      <c r="B779" s="12"/>
      <c r="C779" s="12"/>
    </row>
    <row r="780" spans="1:3" ht="14.45">
      <c r="A780" s="12"/>
      <c r="B780" s="12"/>
      <c r="C780" s="12"/>
    </row>
    <row r="781" spans="1:3" ht="14.45">
      <c r="A781" s="12"/>
      <c r="B781" s="12"/>
      <c r="C781" s="12"/>
    </row>
    <row r="782" spans="1:3" ht="14.45">
      <c r="A782" s="12"/>
      <c r="B782" s="12"/>
      <c r="C782" s="12"/>
    </row>
    <row r="783" spans="1:3" ht="14.45">
      <c r="A783" s="12"/>
      <c r="B783" s="12"/>
      <c r="C783" s="12"/>
    </row>
    <row r="784" spans="1:3" ht="14.45">
      <c r="A784" s="12"/>
      <c r="B784" s="12"/>
      <c r="C784" s="12"/>
    </row>
    <row r="785" spans="1:3" ht="14.45">
      <c r="A785" s="12"/>
      <c r="B785" s="12"/>
      <c r="C785" s="12"/>
    </row>
    <row r="786" spans="1:3" ht="14.45">
      <c r="A786" s="12"/>
      <c r="B786" s="12"/>
      <c r="C786" s="12"/>
    </row>
    <row r="787" spans="1:3" ht="14.45">
      <c r="A787" s="12"/>
      <c r="B787" s="12"/>
      <c r="C787" s="12"/>
    </row>
    <row r="788" spans="1:3" ht="14.45">
      <c r="A788" s="12"/>
      <c r="B788" s="12"/>
      <c r="C788" s="12"/>
    </row>
    <row r="789" spans="1:3" ht="14.45">
      <c r="A789" s="12"/>
      <c r="B789" s="12"/>
      <c r="C789" s="12"/>
    </row>
    <row r="790" spans="1:3" ht="14.45">
      <c r="A790" s="12"/>
      <c r="B790" s="12"/>
      <c r="C790" s="12"/>
    </row>
    <row r="791" spans="1:3" ht="14.45">
      <c r="A791" s="12"/>
      <c r="B791" s="12"/>
      <c r="C791" s="12"/>
    </row>
    <row r="792" spans="1:3" ht="14.45">
      <c r="A792" s="12"/>
      <c r="B792" s="12"/>
      <c r="C792" s="12"/>
    </row>
    <row r="793" spans="1:3" ht="14.45">
      <c r="A793" s="12"/>
      <c r="B793" s="12"/>
      <c r="C793" s="12"/>
    </row>
    <row r="794" spans="1:3" ht="14.45">
      <c r="A794" s="12"/>
      <c r="B794" s="12"/>
      <c r="C794" s="12"/>
    </row>
    <row r="795" spans="1:3" ht="14.45">
      <c r="A795" s="12"/>
      <c r="B795" s="12"/>
      <c r="C795" s="12"/>
    </row>
    <row r="796" spans="1:3" ht="14.45">
      <c r="A796" s="12"/>
      <c r="B796" s="12"/>
      <c r="C796" s="12"/>
    </row>
    <row r="797" spans="1:3" ht="14.45">
      <c r="A797" s="12"/>
      <c r="B797" s="12"/>
      <c r="C797" s="12"/>
    </row>
    <row r="798" spans="1:3" ht="14.45">
      <c r="A798" s="12"/>
      <c r="B798" s="12"/>
      <c r="C798" s="12"/>
    </row>
    <row r="799" spans="1:3" ht="14.45">
      <c r="A799" s="12"/>
      <c r="B799" s="12"/>
      <c r="C799" s="12"/>
    </row>
    <row r="800" spans="1:3" ht="14.45">
      <c r="A800" s="12"/>
      <c r="B800" s="12"/>
      <c r="C800" s="12"/>
    </row>
    <row r="801" spans="1:3" ht="14.45">
      <c r="A801" s="12"/>
      <c r="B801" s="12"/>
      <c r="C801" s="12"/>
    </row>
    <row r="802" spans="1:3" ht="14.45">
      <c r="A802" s="12"/>
      <c r="B802" s="12"/>
      <c r="C802" s="12"/>
    </row>
    <row r="803" spans="1:3" ht="14.45">
      <c r="A803" s="12"/>
      <c r="B803" s="12"/>
      <c r="C803" s="12"/>
    </row>
    <row r="804" spans="1:3" ht="14.45">
      <c r="A804" s="12"/>
      <c r="B804" s="12"/>
      <c r="C804" s="12"/>
    </row>
    <row r="805" spans="1:3" ht="14.45">
      <c r="A805" s="12"/>
      <c r="B805" s="12"/>
      <c r="C805" s="12"/>
    </row>
    <row r="806" spans="1:3" ht="14.45">
      <c r="A806" s="12"/>
      <c r="B806" s="12"/>
      <c r="C806" s="12"/>
    </row>
    <row r="807" spans="1:3" ht="14.45">
      <c r="A807" s="12"/>
      <c r="B807" s="12"/>
      <c r="C807" s="12"/>
    </row>
    <row r="808" spans="1:3" ht="14.45">
      <c r="A808" s="12"/>
      <c r="B808" s="12"/>
      <c r="C808" s="12"/>
    </row>
    <row r="809" spans="1:3" ht="14.45">
      <c r="A809" s="12"/>
      <c r="B809" s="12"/>
      <c r="C809" s="12"/>
    </row>
    <row r="810" spans="1:3" ht="14.45">
      <c r="A810" s="12"/>
      <c r="B810" s="12"/>
      <c r="C810" s="12"/>
    </row>
    <row r="811" spans="1:3" ht="14.45">
      <c r="A811" s="12"/>
      <c r="B811" s="12"/>
      <c r="C811" s="12"/>
    </row>
    <row r="812" spans="1:3" ht="14.45">
      <c r="A812" s="12"/>
      <c r="B812" s="12"/>
      <c r="C812" s="12"/>
    </row>
    <row r="813" spans="1:3" ht="14.45">
      <c r="A813" s="12"/>
      <c r="B813" s="12"/>
      <c r="C813" s="12"/>
    </row>
    <row r="814" spans="1:3" ht="14.45">
      <c r="A814" s="12"/>
      <c r="B814" s="12"/>
      <c r="C814" s="12"/>
    </row>
    <row r="815" spans="1:3" ht="14.45">
      <c r="A815" s="12"/>
      <c r="B815" s="12"/>
      <c r="C815" s="12"/>
    </row>
    <row r="816" spans="1:3" ht="14.45">
      <c r="A816" s="12"/>
      <c r="B816" s="12"/>
      <c r="C816" s="12"/>
    </row>
    <row r="817" spans="1:3" ht="14.45">
      <c r="A817" s="12"/>
      <c r="B817" s="12"/>
      <c r="C817" s="12"/>
    </row>
    <row r="818" spans="1:3" ht="14.45">
      <c r="A818" s="12"/>
      <c r="B818" s="12"/>
      <c r="C818" s="12"/>
    </row>
    <row r="819" spans="1:3" ht="14.45">
      <c r="A819" s="12"/>
      <c r="B819" s="12"/>
      <c r="C819" s="12"/>
    </row>
    <row r="820" spans="1:3" ht="14.45">
      <c r="A820" s="12"/>
      <c r="B820" s="12"/>
      <c r="C820" s="12"/>
    </row>
    <row r="821" spans="1:3" ht="14.45">
      <c r="A821" s="12"/>
      <c r="B821" s="12"/>
      <c r="C821" s="12"/>
    </row>
    <row r="822" spans="1:3" ht="14.45">
      <c r="A822" s="12"/>
      <c r="B822" s="12"/>
      <c r="C822" s="12"/>
    </row>
    <row r="823" spans="1:3" ht="14.45">
      <c r="A823" s="12"/>
      <c r="B823" s="12"/>
      <c r="C823" s="12"/>
    </row>
    <row r="824" spans="1:3" ht="14.45">
      <c r="A824" s="12"/>
      <c r="B824" s="12"/>
      <c r="C824" s="12"/>
    </row>
    <row r="825" spans="1:3" ht="14.45">
      <c r="A825" s="12"/>
      <c r="B825" s="12"/>
      <c r="C825" s="12"/>
    </row>
    <row r="826" spans="1:3" ht="14.45">
      <c r="A826" s="12"/>
      <c r="B826" s="12"/>
      <c r="C826" s="12"/>
    </row>
    <row r="827" spans="1:3" ht="14.45">
      <c r="A827" s="12"/>
      <c r="B827" s="12"/>
      <c r="C827" s="12"/>
    </row>
    <row r="828" spans="1:3" ht="14.45">
      <c r="A828" s="12"/>
      <c r="B828" s="12"/>
      <c r="C828" s="12"/>
    </row>
    <row r="829" spans="1:3" ht="14.45">
      <c r="A829" s="12"/>
      <c r="B829" s="12"/>
      <c r="C829" s="12"/>
    </row>
    <row r="830" spans="1:3" ht="14.45">
      <c r="A830" s="12"/>
      <c r="B830" s="12"/>
      <c r="C830" s="12"/>
    </row>
    <row r="831" spans="1:3" ht="14.45">
      <c r="A831" s="12"/>
      <c r="B831" s="12"/>
      <c r="C831" s="12"/>
    </row>
    <row r="832" spans="1:3" ht="14.45">
      <c r="A832" s="12"/>
      <c r="B832" s="12"/>
      <c r="C832" s="12"/>
    </row>
    <row r="833" spans="1:3" ht="14.45">
      <c r="A833" s="12"/>
      <c r="B833" s="12"/>
      <c r="C833" s="12"/>
    </row>
    <row r="834" spans="1:3" ht="14.45">
      <c r="A834" s="12"/>
      <c r="B834" s="12"/>
      <c r="C834" s="12"/>
    </row>
    <row r="835" spans="1:3" ht="14.45">
      <c r="A835" s="12"/>
      <c r="B835" s="12"/>
      <c r="C835" s="12"/>
    </row>
    <row r="836" spans="1:3" ht="14.45">
      <c r="A836" s="12"/>
      <c r="B836" s="12"/>
      <c r="C836" s="12"/>
    </row>
    <row r="837" spans="1:3" ht="14.45">
      <c r="A837" s="12"/>
      <c r="B837" s="12"/>
      <c r="C837" s="12"/>
    </row>
    <row r="838" spans="1:3" ht="14.45">
      <c r="A838" s="12"/>
      <c r="B838" s="12"/>
      <c r="C838" s="12"/>
    </row>
    <row r="839" spans="1:3" ht="14.45">
      <c r="A839" s="12"/>
      <c r="B839" s="12"/>
      <c r="C839" s="12"/>
    </row>
    <row r="840" spans="1:3" ht="14.45">
      <c r="A840" s="12"/>
      <c r="B840" s="12"/>
      <c r="C840" s="12"/>
    </row>
    <row r="841" spans="1:3" ht="14.45">
      <c r="A841" s="12"/>
      <c r="B841" s="12"/>
      <c r="C841" s="12"/>
    </row>
    <row r="842" spans="1:3" ht="14.45">
      <c r="A842" s="12"/>
      <c r="B842" s="12"/>
      <c r="C842" s="12"/>
    </row>
    <row r="843" spans="1:3" ht="14.45">
      <c r="A843" s="12"/>
      <c r="B843" s="12"/>
      <c r="C843" s="12"/>
    </row>
    <row r="844" spans="1:3" ht="14.45">
      <c r="A844" s="12"/>
      <c r="B844" s="12"/>
      <c r="C844" s="12"/>
    </row>
    <row r="845" spans="1:3" ht="14.45">
      <c r="A845" s="12"/>
      <c r="B845" s="12"/>
      <c r="C845" s="12"/>
    </row>
    <row r="846" spans="1:3" ht="14.45">
      <c r="A846" s="12"/>
      <c r="B846" s="12"/>
      <c r="C846" s="12"/>
    </row>
    <row r="847" spans="1:3" ht="14.45">
      <c r="A847" s="12"/>
      <c r="B847" s="12"/>
      <c r="C847" s="12"/>
    </row>
    <row r="848" spans="1:3" ht="14.45">
      <c r="A848" s="12"/>
      <c r="B848" s="12"/>
      <c r="C848" s="12"/>
    </row>
    <row r="849" spans="1:3" ht="14.45">
      <c r="A849" s="12"/>
      <c r="B849" s="12"/>
      <c r="C849" s="12"/>
    </row>
    <row r="850" spans="1:3" ht="14.45">
      <c r="A850" s="12"/>
      <c r="B850" s="12"/>
      <c r="C850" s="12"/>
    </row>
    <row r="851" spans="1:3" ht="14.45">
      <c r="A851" s="12"/>
      <c r="B851" s="12"/>
      <c r="C851" s="12"/>
    </row>
    <row r="852" spans="1:3" ht="14.45">
      <c r="A852" s="12"/>
      <c r="B852" s="12"/>
      <c r="C852" s="12"/>
    </row>
    <row r="853" spans="1:3" ht="14.45">
      <c r="A853" s="12"/>
      <c r="B853" s="12"/>
      <c r="C853" s="12"/>
    </row>
    <row r="854" spans="1:3" ht="14.45">
      <c r="A854" s="12"/>
      <c r="B854" s="12"/>
      <c r="C854" s="12"/>
    </row>
    <row r="855" spans="1:3" ht="14.45">
      <c r="A855" s="12"/>
      <c r="B855" s="12"/>
      <c r="C855" s="12"/>
    </row>
    <row r="856" spans="1:3" ht="14.45">
      <c r="A856" s="12"/>
      <c r="B856" s="12"/>
      <c r="C856" s="12"/>
    </row>
    <row r="857" spans="1:3" ht="14.45">
      <c r="A857" s="12"/>
      <c r="B857" s="12"/>
      <c r="C857" s="12"/>
    </row>
    <row r="858" spans="1:3" ht="14.45">
      <c r="A858" s="12"/>
      <c r="B858" s="12"/>
      <c r="C858" s="12"/>
    </row>
    <row r="859" spans="1:3" ht="14.45">
      <c r="A859" s="12"/>
      <c r="B859" s="12"/>
      <c r="C859" s="12"/>
    </row>
    <row r="860" spans="1:3" ht="14.45">
      <c r="A860" s="12"/>
      <c r="B860" s="12"/>
      <c r="C860" s="12"/>
    </row>
    <row r="861" spans="1:3" ht="14.45">
      <c r="A861" s="12"/>
      <c r="B861" s="12"/>
      <c r="C861" s="12"/>
    </row>
    <row r="862" spans="1:3" ht="14.45">
      <c r="A862" s="12"/>
      <c r="B862" s="12"/>
      <c r="C862" s="12"/>
    </row>
    <row r="863" spans="1:3" ht="14.45">
      <c r="A863" s="12"/>
      <c r="B863" s="12"/>
      <c r="C863" s="12"/>
    </row>
    <row r="864" spans="1:3" ht="14.45">
      <c r="A864" s="12"/>
      <c r="B864" s="12"/>
      <c r="C864" s="12"/>
    </row>
    <row r="865" spans="1:3" ht="14.45">
      <c r="A865" s="12"/>
      <c r="B865" s="12"/>
      <c r="C865" s="12"/>
    </row>
    <row r="866" spans="1:3" ht="14.45">
      <c r="A866" s="12"/>
      <c r="B866" s="12"/>
      <c r="C866" s="12"/>
    </row>
    <row r="867" spans="1:3" ht="14.45">
      <c r="A867" s="12"/>
      <c r="B867" s="12"/>
      <c r="C867" s="12"/>
    </row>
    <row r="868" spans="1:3" ht="14.45">
      <c r="A868" s="12"/>
      <c r="B868" s="12"/>
      <c r="C868" s="12"/>
    </row>
    <row r="869" spans="1:3" ht="14.45">
      <c r="A869" s="12"/>
      <c r="B869" s="12"/>
      <c r="C869" s="12"/>
    </row>
    <row r="870" spans="1:3" ht="14.45">
      <c r="A870" s="12"/>
      <c r="B870" s="12"/>
      <c r="C870" s="12"/>
    </row>
    <row r="871" spans="1:3" ht="14.45">
      <c r="A871" s="12"/>
      <c r="B871" s="12"/>
      <c r="C871" s="12"/>
    </row>
    <row r="872" spans="1:3" ht="14.45">
      <c r="A872" s="12"/>
      <c r="B872" s="12"/>
      <c r="C872" s="12"/>
    </row>
    <row r="873" spans="1:3" ht="14.45">
      <c r="A873" s="12"/>
      <c r="B873" s="12"/>
      <c r="C873" s="12"/>
    </row>
    <row r="874" spans="1:3" ht="14.45">
      <c r="A874" s="12"/>
      <c r="B874" s="12"/>
      <c r="C874" s="12"/>
    </row>
    <row r="875" spans="1:3" ht="14.45">
      <c r="A875" s="12"/>
      <c r="B875" s="12"/>
      <c r="C875" s="12"/>
    </row>
    <row r="876" spans="1:3" ht="14.45">
      <c r="A876" s="12"/>
      <c r="B876" s="12"/>
      <c r="C876" s="12"/>
    </row>
    <row r="877" spans="1:3" ht="14.45">
      <c r="A877" s="12"/>
      <c r="B877" s="12"/>
      <c r="C877" s="12"/>
    </row>
    <row r="878" spans="1:3" ht="14.45">
      <c r="A878" s="12"/>
      <c r="B878" s="12"/>
      <c r="C878" s="12"/>
    </row>
    <row r="879" spans="1:3" ht="14.45">
      <c r="A879" s="12"/>
      <c r="B879" s="12"/>
      <c r="C879" s="12"/>
    </row>
    <row r="880" spans="1:3" ht="14.45">
      <c r="A880" s="12"/>
      <c r="B880" s="12"/>
      <c r="C880" s="12"/>
    </row>
    <row r="881" spans="1:3" ht="14.45">
      <c r="A881" s="12"/>
      <c r="B881" s="12"/>
      <c r="C881" s="12"/>
    </row>
    <row r="882" spans="1:3" ht="14.45">
      <c r="A882" s="12"/>
      <c r="B882" s="12"/>
      <c r="C882" s="12"/>
    </row>
    <row r="883" spans="1:3" ht="14.45">
      <c r="A883" s="12"/>
      <c r="B883" s="12"/>
      <c r="C883" s="12"/>
    </row>
    <row r="884" spans="1:3" ht="14.45">
      <c r="A884" s="12"/>
      <c r="B884" s="12"/>
      <c r="C884" s="12"/>
    </row>
    <row r="885" spans="1:3" ht="14.45">
      <c r="A885" s="12"/>
      <c r="B885" s="12"/>
      <c r="C885" s="12"/>
    </row>
    <row r="886" spans="1:3" ht="14.45">
      <c r="A886" s="12"/>
      <c r="B886" s="12"/>
      <c r="C886" s="12"/>
    </row>
    <row r="887" spans="1:3" ht="14.45">
      <c r="A887" s="12"/>
      <c r="B887" s="12"/>
      <c r="C887" s="12"/>
    </row>
    <row r="888" spans="1:3" ht="14.45">
      <c r="A888" s="12"/>
      <c r="B888" s="12"/>
      <c r="C888" s="12"/>
    </row>
    <row r="889" spans="1:3" ht="14.45">
      <c r="A889" s="12"/>
      <c r="B889" s="12"/>
      <c r="C889" s="12"/>
    </row>
    <row r="890" spans="1:3" ht="14.45">
      <c r="A890" s="12"/>
      <c r="B890" s="12"/>
      <c r="C890" s="12"/>
    </row>
    <row r="891" spans="1:3" ht="14.45">
      <c r="A891" s="12"/>
      <c r="B891" s="12"/>
      <c r="C891" s="12"/>
    </row>
    <row r="892" spans="1:3" ht="14.45">
      <c r="A892" s="12"/>
      <c r="B892" s="12"/>
      <c r="C892" s="12"/>
    </row>
    <row r="893" spans="1:3" ht="14.45">
      <c r="A893" s="12"/>
      <c r="B893" s="12"/>
      <c r="C893" s="12"/>
    </row>
    <row r="894" spans="1:3" ht="14.45">
      <c r="A894" s="12"/>
      <c r="B894" s="12"/>
      <c r="C894" s="12"/>
    </row>
    <row r="895" spans="1:3" ht="14.45">
      <c r="A895" s="12"/>
      <c r="B895" s="12"/>
      <c r="C895" s="12"/>
    </row>
    <row r="896" spans="1:3" ht="14.45">
      <c r="A896" s="12"/>
      <c r="B896" s="12"/>
      <c r="C896" s="12"/>
    </row>
    <row r="897" spans="1:3" ht="14.45">
      <c r="A897" s="12"/>
      <c r="B897" s="12"/>
      <c r="C897" s="12"/>
    </row>
    <row r="898" spans="1:3" ht="14.45">
      <c r="A898" s="12"/>
      <c r="B898" s="12"/>
      <c r="C898" s="12"/>
    </row>
    <row r="899" spans="1:3" ht="14.45">
      <c r="A899" s="12"/>
      <c r="B899" s="12"/>
      <c r="C899" s="12"/>
    </row>
    <row r="900" spans="1:3" ht="14.45">
      <c r="A900" s="12"/>
      <c r="B900" s="12"/>
      <c r="C900" s="12"/>
    </row>
    <row r="901" spans="1:3" ht="14.45">
      <c r="A901" s="12"/>
      <c r="B901" s="12"/>
      <c r="C901" s="12"/>
    </row>
    <row r="902" spans="1:3" ht="14.45">
      <c r="A902" s="12"/>
      <c r="B902" s="12"/>
      <c r="C902" s="12"/>
    </row>
    <row r="903" spans="1:3" ht="14.45">
      <c r="A903" s="12"/>
      <c r="B903" s="12"/>
      <c r="C903" s="12"/>
    </row>
    <row r="904" spans="1:3" ht="14.45">
      <c r="A904" s="12"/>
      <c r="B904" s="12"/>
      <c r="C904" s="12"/>
    </row>
    <row r="905" spans="1:3" ht="14.45">
      <c r="A905" s="12"/>
      <c r="B905" s="12"/>
      <c r="C905" s="12"/>
    </row>
    <row r="906" spans="1:3" ht="14.45">
      <c r="A906" s="12"/>
      <c r="B906" s="12"/>
      <c r="C906" s="12"/>
    </row>
    <row r="907" spans="1:3" ht="14.45">
      <c r="A907" s="12"/>
      <c r="B907" s="12"/>
      <c r="C907" s="12"/>
    </row>
    <row r="908" spans="1:3" ht="14.45">
      <c r="A908" s="12"/>
      <c r="B908" s="12"/>
      <c r="C908" s="12"/>
    </row>
    <row r="909" spans="1:3" ht="14.45">
      <c r="A909" s="12"/>
      <c r="B909" s="12"/>
      <c r="C909" s="12"/>
    </row>
    <row r="910" spans="1:3" ht="14.45">
      <c r="A910" s="12"/>
      <c r="B910" s="12"/>
      <c r="C910" s="12"/>
    </row>
    <row r="911" spans="1:3" ht="14.45">
      <c r="A911" s="12"/>
      <c r="B911" s="12"/>
      <c r="C911" s="12"/>
    </row>
    <row r="912" spans="1:3" ht="14.45">
      <c r="A912" s="12"/>
      <c r="B912" s="12"/>
      <c r="C912" s="12"/>
    </row>
    <row r="913" spans="1:3" ht="14.45">
      <c r="A913" s="12"/>
      <c r="B913" s="12"/>
      <c r="C913" s="12"/>
    </row>
    <row r="914" spans="1:3" ht="14.45">
      <c r="A914" s="12"/>
      <c r="B914" s="12"/>
      <c r="C914" s="12"/>
    </row>
    <row r="915" spans="1:3" ht="14.45">
      <c r="A915" s="12"/>
      <c r="B915" s="12"/>
      <c r="C915" s="12"/>
    </row>
    <row r="916" spans="1:3" ht="14.45">
      <c r="A916" s="12"/>
      <c r="B916" s="12"/>
      <c r="C916" s="12"/>
    </row>
    <row r="917" spans="1:3" ht="14.45">
      <c r="A917" s="12"/>
      <c r="B917" s="12"/>
      <c r="C917" s="12"/>
    </row>
    <row r="918" spans="1:3" ht="14.45">
      <c r="A918" s="12"/>
      <c r="B918" s="12"/>
      <c r="C918" s="12"/>
    </row>
    <row r="919" spans="1:3" ht="14.45">
      <c r="A919" s="12"/>
      <c r="B919" s="12"/>
      <c r="C919" s="12"/>
    </row>
    <row r="920" spans="1:3" ht="14.45">
      <c r="A920" s="12"/>
      <c r="B920" s="12"/>
      <c r="C920" s="12"/>
    </row>
    <row r="921" spans="1:3" ht="14.45">
      <c r="A921" s="12"/>
      <c r="B921" s="12"/>
      <c r="C921" s="12"/>
    </row>
    <row r="922" spans="1:3" ht="14.45">
      <c r="A922" s="12"/>
      <c r="B922" s="12"/>
      <c r="C922" s="12"/>
    </row>
    <row r="923" spans="1:3" ht="14.45">
      <c r="A923" s="12"/>
      <c r="B923" s="12"/>
      <c r="C923" s="12"/>
    </row>
    <row r="924" spans="1:3" ht="14.45">
      <c r="A924" s="12"/>
      <c r="B924" s="12"/>
      <c r="C924" s="12"/>
    </row>
    <row r="925" spans="1:3" ht="14.45">
      <c r="A925" s="12"/>
      <c r="B925" s="12"/>
      <c r="C925" s="12"/>
    </row>
    <row r="926" spans="1:3" ht="14.45">
      <c r="A926" s="12"/>
      <c r="B926" s="12"/>
      <c r="C926" s="12"/>
    </row>
    <row r="927" spans="1:3" ht="14.45">
      <c r="A927" s="12"/>
      <c r="B927" s="12"/>
      <c r="C927" s="12"/>
    </row>
    <row r="928" spans="1:3" ht="14.45">
      <c r="A928" s="12"/>
      <c r="B928" s="12"/>
      <c r="C928" s="12"/>
    </row>
    <row r="929" spans="1:3" ht="14.45">
      <c r="A929" s="12"/>
      <c r="B929" s="12"/>
      <c r="C929" s="12"/>
    </row>
    <row r="930" spans="1:3" ht="14.45">
      <c r="A930" s="12"/>
      <c r="B930" s="12"/>
      <c r="C930" s="12"/>
    </row>
    <row r="931" spans="1:3" ht="14.45">
      <c r="A931" s="12"/>
      <c r="B931" s="12"/>
      <c r="C931" s="12"/>
    </row>
    <row r="932" spans="1:3" ht="14.45">
      <c r="A932" s="12"/>
      <c r="B932" s="12"/>
      <c r="C932" s="12"/>
    </row>
    <row r="933" spans="1:3" ht="14.45">
      <c r="A933" s="12"/>
      <c r="B933" s="12"/>
      <c r="C933" s="12"/>
    </row>
    <row r="934" spans="1:3" ht="14.45">
      <c r="A934" s="12"/>
      <c r="B934" s="12"/>
      <c r="C934" s="12"/>
    </row>
    <row r="935" spans="1:3" ht="14.45">
      <c r="A935" s="12"/>
      <c r="B935" s="12"/>
      <c r="C935" s="12"/>
    </row>
    <row r="936" spans="1:3" ht="14.45">
      <c r="A936" s="12"/>
      <c r="B936" s="12"/>
      <c r="C936" s="12"/>
    </row>
    <row r="937" spans="1:3" ht="14.45">
      <c r="A937" s="12"/>
      <c r="B937" s="12"/>
      <c r="C937" s="12"/>
    </row>
    <row r="938" spans="1:3" ht="14.45">
      <c r="A938" s="12"/>
      <c r="B938" s="12"/>
      <c r="C938" s="12"/>
    </row>
    <row r="939" spans="1:3" ht="14.45">
      <c r="A939" s="12"/>
      <c r="B939" s="12"/>
      <c r="C939" s="12"/>
    </row>
    <row r="940" spans="1:3" ht="14.45">
      <c r="A940" s="12"/>
      <c r="B940" s="12"/>
      <c r="C940" s="12"/>
    </row>
    <row r="941" spans="1:3" ht="14.45">
      <c r="A941" s="12"/>
      <c r="B941" s="12"/>
      <c r="C941" s="12"/>
    </row>
    <row r="942" spans="1:3" ht="14.45">
      <c r="A942" s="12"/>
      <c r="B942" s="12"/>
      <c r="C942" s="12"/>
    </row>
    <row r="943" spans="1:3" ht="14.45">
      <c r="A943" s="12"/>
      <c r="B943" s="12"/>
      <c r="C943" s="12"/>
    </row>
    <row r="944" spans="1:3" ht="14.45">
      <c r="A944" s="12"/>
      <c r="B944" s="12"/>
      <c r="C944" s="12"/>
    </row>
    <row r="945" spans="1:3" ht="14.45">
      <c r="A945" s="12"/>
      <c r="B945" s="12"/>
      <c r="C945" s="12"/>
    </row>
    <row r="946" spans="1:3" ht="14.45">
      <c r="A946" s="12"/>
      <c r="B946" s="12"/>
      <c r="C946" s="12"/>
    </row>
    <row r="947" spans="1:3" ht="14.45">
      <c r="A947" s="12"/>
      <c r="B947" s="12"/>
      <c r="C947" s="12"/>
    </row>
    <row r="948" spans="1:3" ht="14.45">
      <c r="A948" s="12"/>
      <c r="B948" s="12"/>
      <c r="C948" s="12"/>
    </row>
    <row r="949" spans="1:3" ht="14.45">
      <c r="A949" s="12"/>
      <c r="B949" s="12"/>
      <c r="C949" s="12"/>
    </row>
    <row r="950" spans="1:3" ht="14.45">
      <c r="A950" s="12"/>
      <c r="B950" s="12"/>
      <c r="C950" s="12"/>
    </row>
    <row r="951" spans="1:3" ht="14.45">
      <c r="A951" s="12"/>
      <c r="B951" s="12"/>
      <c r="C951" s="12"/>
    </row>
    <row r="952" spans="1:3" ht="14.45">
      <c r="A952" s="12"/>
      <c r="B952" s="12"/>
      <c r="C952" s="12"/>
    </row>
    <row r="953" spans="1:3" ht="14.45">
      <c r="A953" s="12"/>
      <c r="B953" s="12"/>
      <c r="C953" s="12"/>
    </row>
    <row r="954" spans="1:3" ht="14.45">
      <c r="A954" s="12"/>
      <c r="B954" s="12"/>
      <c r="C954" s="12"/>
    </row>
    <row r="955" spans="1:3" ht="14.45">
      <c r="A955" s="12"/>
      <c r="B955" s="12"/>
      <c r="C955" s="12"/>
    </row>
    <row r="956" spans="1:3" ht="14.45">
      <c r="A956" s="12"/>
      <c r="B956" s="12"/>
      <c r="C956" s="12"/>
    </row>
    <row r="957" spans="1:3" ht="14.45">
      <c r="A957" s="12"/>
      <c r="B957" s="12"/>
      <c r="C957" s="12"/>
    </row>
    <row r="958" spans="1:3" ht="14.45">
      <c r="A958" s="12"/>
      <c r="B958" s="12"/>
      <c r="C958" s="12"/>
    </row>
    <row r="959" spans="1:3" ht="14.45">
      <c r="A959" s="12"/>
      <c r="B959" s="12"/>
      <c r="C959" s="12"/>
    </row>
    <row r="960" spans="1:3" ht="14.45">
      <c r="A960" s="12"/>
      <c r="B960" s="12"/>
      <c r="C960" s="12"/>
    </row>
    <row r="961" spans="1:3" ht="14.45">
      <c r="A961" s="12"/>
      <c r="B961" s="12"/>
      <c r="C961" s="12"/>
    </row>
    <row r="962" spans="1:3" ht="14.45">
      <c r="A962" s="12"/>
      <c r="B962" s="12"/>
      <c r="C962" s="12"/>
    </row>
    <row r="963" spans="1:3" ht="14.45">
      <c r="A963" s="12"/>
      <c r="B963" s="12"/>
      <c r="C963" s="12"/>
    </row>
    <row r="964" spans="1:3" ht="14.45">
      <c r="A964" s="12"/>
      <c r="B964" s="12"/>
      <c r="C964" s="12"/>
    </row>
    <row r="965" spans="1:3" ht="14.45">
      <c r="A965" s="12"/>
      <c r="B965" s="12"/>
      <c r="C965" s="12"/>
    </row>
    <row r="966" spans="1:3" ht="14.45">
      <c r="A966" s="12"/>
      <c r="B966" s="12"/>
      <c r="C966" s="12"/>
    </row>
    <row r="967" spans="1:3" ht="14.45">
      <c r="A967" s="12"/>
      <c r="B967" s="12"/>
      <c r="C967" s="12"/>
    </row>
    <row r="968" spans="1:3" ht="14.45">
      <c r="A968" s="12"/>
      <c r="B968" s="12"/>
      <c r="C968" s="12"/>
    </row>
    <row r="969" spans="1:3" ht="14.45">
      <c r="A969" s="12"/>
      <c r="B969" s="12"/>
      <c r="C969" s="12"/>
    </row>
    <row r="970" spans="1:3" ht="14.45">
      <c r="A970" s="12"/>
      <c r="B970" s="12"/>
      <c r="C970" s="12"/>
    </row>
    <row r="971" spans="1:3" ht="14.45">
      <c r="A971" s="12"/>
      <c r="B971" s="12"/>
      <c r="C971" s="12"/>
    </row>
    <row r="972" spans="1:3" ht="14.45">
      <c r="A972" s="12"/>
      <c r="B972" s="12"/>
      <c r="C972" s="12"/>
    </row>
    <row r="973" spans="1:3" ht="14.45">
      <c r="A973" s="12"/>
      <c r="B973" s="12"/>
      <c r="C973" s="12"/>
    </row>
    <row r="974" spans="1:3" ht="14.45">
      <c r="A974" s="12"/>
      <c r="B974" s="12"/>
      <c r="C974" s="12"/>
    </row>
    <row r="975" spans="1:3" ht="14.45">
      <c r="A975" s="12"/>
      <c r="B975" s="12"/>
      <c r="C975" s="12"/>
    </row>
    <row r="976" spans="1:3" ht="14.45">
      <c r="A976" s="12"/>
      <c r="B976" s="12"/>
      <c r="C976" s="12"/>
    </row>
    <row r="977" spans="1:3" ht="14.45">
      <c r="A977" s="12"/>
      <c r="B977" s="12"/>
      <c r="C977" s="12"/>
    </row>
    <row r="978" spans="1:3" ht="14.45">
      <c r="A978" s="12"/>
      <c r="B978" s="12"/>
      <c r="C978" s="12"/>
    </row>
    <row r="979" spans="1:3" ht="14.45">
      <c r="A979" s="12"/>
      <c r="B979" s="12"/>
      <c r="C979" s="12"/>
    </row>
    <row r="980" spans="1:3" ht="14.45">
      <c r="A980" s="12"/>
      <c r="B980" s="12"/>
      <c r="C980" s="12"/>
    </row>
    <row r="981" spans="1:3" ht="14.45">
      <c r="A981" s="12"/>
      <c r="B981" s="12"/>
      <c r="C981" s="12"/>
    </row>
    <row r="982" spans="1:3" ht="14.45">
      <c r="A982" s="12"/>
      <c r="B982" s="12"/>
      <c r="C982" s="12"/>
    </row>
    <row r="983" spans="1:3" ht="14.45">
      <c r="A983" s="12"/>
      <c r="B983" s="12"/>
      <c r="C983" s="12"/>
    </row>
    <row r="984" spans="1:3" ht="14.45">
      <c r="A984" s="12"/>
      <c r="B984" s="12"/>
      <c r="C984" s="12"/>
    </row>
    <row r="985" spans="1:3" ht="14.45">
      <c r="A985" s="12"/>
      <c r="B985" s="12"/>
      <c r="C985" s="12"/>
    </row>
    <row r="986" spans="1:3" ht="14.45">
      <c r="A986" s="12"/>
      <c r="B986" s="12"/>
      <c r="C986" s="12"/>
    </row>
    <row r="987" spans="1:3" ht="14.45">
      <c r="A987" s="12"/>
      <c r="B987" s="12"/>
      <c r="C987" s="12"/>
    </row>
    <row r="988" spans="1:3" ht="14.45">
      <c r="A988" s="12"/>
      <c r="B988" s="12"/>
      <c r="C988" s="12"/>
    </row>
    <row r="989" spans="1:3" ht="14.45">
      <c r="A989" s="12"/>
      <c r="B989" s="12"/>
      <c r="C989" s="12"/>
    </row>
    <row r="990" spans="1:3" ht="14.45">
      <c r="A990" s="12"/>
      <c r="B990" s="12"/>
      <c r="C990" s="12"/>
    </row>
    <row r="991" spans="1:3" ht="14.45">
      <c r="A991" s="12"/>
      <c r="B991" s="12"/>
      <c r="C991" s="12"/>
    </row>
    <row r="992" spans="1:3" ht="14.45">
      <c r="A992" s="12"/>
      <c r="B992" s="12"/>
      <c r="C992" s="12"/>
    </row>
    <row r="993" spans="1:3" ht="14.45">
      <c r="A993" s="12"/>
      <c r="B993" s="12"/>
      <c r="C993" s="12"/>
    </row>
    <row r="994" spans="1:3" ht="14.45">
      <c r="A994" s="12"/>
      <c r="B994" s="12"/>
      <c r="C994" s="12"/>
    </row>
    <row r="995" spans="1:3" ht="14.45">
      <c r="A995" s="12"/>
      <c r="B995" s="12"/>
      <c r="C995" s="12"/>
    </row>
    <row r="996" spans="1:3" ht="14.45">
      <c r="A996" s="12"/>
      <c r="B996" s="12"/>
      <c r="C996" s="12"/>
    </row>
    <row r="997" spans="1:3" ht="14.45">
      <c r="A997" s="12"/>
      <c r="B997" s="12"/>
      <c r="C997" s="12"/>
    </row>
    <row r="998" spans="1:3" ht="14.45">
      <c r="A998" s="12"/>
      <c r="B998" s="12"/>
      <c r="C998" s="12"/>
    </row>
    <row r="999" spans="1:3" ht="14.45">
      <c r="A999" s="12"/>
      <c r="B999" s="12"/>
      <c r="C999" s="12"/>
    </row>
    <row r="1000" spans="1:3" ht="14.45">
      <c r="A1000" s="12"/>
      <c r="B1000" s="12"/>
      <c r="C1000" s="12"/>
    </row>
  </sheetData>
  <hyperlinks>
    <hyperlink ref="C5" r:id="rId1" xr:uid="{2C9E440C-71CD-408A-9E40-5BB6F83CF832}"/>
    <hyperlink ref="C2" r:id="rId2" xr:uid="{4ABF35C8-D8EE-4108-A2A6-CF034ED58B60}"/>
    <hyperlink ref="C3" r:id="rId3" xr:uid="{617EBFB2-6A0F-44A4-AF2E-533F3CC36F2C}"/>
    <hyperlink ref="C6" r:id="rId4" xr:uid="{76F9FFC5-85D3-42FD-A84D-09CA80B79DF9}"/>
    <hyperlink ref="C7" r:id="rId5" xr:uid="{9C27A816-C40C-4DE0-A907-A1E63BD3BF54}"/>
    <hyperlink ref="C8" r:id="rId6" xr:uid="{BDFD0A78-731B-4BF6-A0BE-F9DA4FED2A7D}"/>
    <hyperlink ref="C9" r:id="rId7" xr:uid="{DE9E1A99-98DC-4E9F-9BA2-4CD61FC13A01}"/>
    <hyperlink ref="C10" r:id="rId8" xr:uid="{B44F0674-C144-4901-BB29-036646952A10}"/>
    <hyperlink ref="C11" r:id="rId9" xr:uid="{BBFFBDA6-4D56-4BE5-A13E-0E4844BAC78E}"/>
    <hyperlink ref="C12" r:id="rId10" xr:uid="{4A90F022-12C5-47CB-B2CA-57F258536C91}"/>
    <hyperlink ref="C13" r:id="rId11" xr:uid="{70701BDE-0FFE-4395-9590-D000E6FC8F31}"/>
    <hyperlink ref="C14" r:id="rId12" xr:uid="{A6DB70A4-9D11-4E3B-85F2-C2E57CBDA880}"/>
    <hyperlink ref="C15" r:id="rId13" xr:uid="{7A23D877-E929-4A37-B7FA-BF49358D781D}"/>
    <hyperlink ref="C18" r:id="rId14" xr:uid="{7B4DFF27-117F-4F49-A66C-0765DE58486B}"/>
    <hyperlink ref="C16" r:id="rId15" xr:uid="{294353E6-0CCD-44A0-A8D1-DB6AC9D10FD0}"/>
    <hyperlink ref="C4" r:id="rId16" xr:uid="{B2B9E892-A931-4A2E-80AC-4322997A7FE6}"/>
    <hyperlink ref="C17" r:id="rId17" xr:uid="{82037DF4-C44A-48BE-A841-BED7354F1603}"/>
    <hyperlink ref="B2" r:id="rId18" xr:uid="{72162307-020F-4D65-863D-E39D46EE2359}"/>
    <hyperlink ref="B3" r:id="rId19" xr:uid="{642FF046-C348-4B43-8E7E-397B2E7CFBD3}"/>
    <hyperlink ref="B4" r:id="rId20" xr:uid="{888DF53B-873A-408B-BD5A-501B77E50F83}"/>
    <hyperlink ref="B5" r:id="rId21" xr:uid="{1AD800AD-7717-46B1-B33B-138770FF8F6D}"/>
    <hyperlink ref="B6" r:id="rId22" xr:uid="{19A4C42D-65A0-4D36-BE5D-13FAD4F586F4}"/>
    <hyperlink ref="B7" r:id="rId23" xr:uid="{3B74A1FA-6DFC-4F4C-9D4C-808FF6B6D3DF}"/>
    <hyperlink ref="B8" r:id="rId24" xr:uid="{81132FE0-651E-4D7F-9BB7-8734C7EC3DDA}"/>
    <hyperlink ref="B9" r:id="rId25" xr:uid="{E03DABC5-9DE4-4A00-98F8-B610FDBFE660}"/>
    <hyperlink ref="B10" r:id="rId26" xr:uid="{67F21AD4-C818-4FB1-9834-C2486BB56B9F}"/>
    <hyperlink ref="B11" r:id="rId27" xr:uid="{39E06790-3BD8-48E8-B011-E87E652D5198}"/>
    <hyperlink ref="B13" r:id="rId28" xr:uid="{57BD4981-27B3-4958-9617-E6A7C6EE475E}"/>
    <hyperlink ref="B14" r:id="rId29" xr:uid="{A6C0DAF0-F6CB-4A4B-9938-78B9098F137B}"/>
    <hyperlink ref="B17" r:id="rId30" xr:uid="{20A7FC69-3319-42A7-9AD3-82AFDCB67FBC}"/>
    <hyperlink ref="B12" r:id="rId31" xr:uid="{848D9654-C408-461D-BE4B-CA14F387B563}"/>
    <hyperlink ref="B15" r:id="rId32" xr:uid="{54CA5B1A-EA89-41BF-8445-824E518C4282}"/>
    <hyperlink ref="B16" r:id="rId33" xr:uid="{9E7A0056-9296-49F7-87A0-10D019AA9E0A}"/>
    <hyperlink ref="B18" r:id="rId34" xr:uid="{13CA750D-34F3-41A8-8E09-1228BF627D1A}"/>
    <hyperlink ref="C19" r:id="rId35" xr:uid="{07605DF6-88C8-4732-A0D9-0B1038AA2C80}"/>
    <hyperlink ref="C20" r:id="rId36" xr:uid="{907A480D-5AC9-4BDC-B191-9F85E97F94F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A29A0C-082E-40C2-80F9-17A941FD5363}"/>
</file>

<file path=customXml/itemProps2.xml><?xml version="1.0" encoding="utf-8"?>
<ds:datastoreItem xmlns:ds="http://schemas.openxmlformats.org/officeDocument/2006/customXml" ds:itemID="{E1ECAD64-3F45-4C9D-97C1-057BFB5646D8}"/>
</file>

<file path=customXml/itemProps3.xml><?xml version="1.0" encoding="utf-8"?>
<ds:datastoreItem xmlns:ds="http://schemas.openxmlformats.org/officeDocument/2006/customXml" ds:itemID="{A1B2AD98-C3B0-4AB1-AFFC-2E882CA7A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Runa Sagar</dc:creator>
  <cp:keywords/>
  <dc:description/>
  <cp:lastModifiedBy/>
  <cp:revision/>
  <dcterms:created xsi:type="dcterms:W3CDTF">2015-06-05T18:17:20Z</dcterms:created>
  <dcterms:modified xsi:type="dcterms:W3CDTF">2026-10-12T08:49:36Z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