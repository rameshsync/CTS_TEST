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capgemini.sharepoint.com/sites/BeazleyJumpstart/Shared Documents/General/Testing/"/>
    </mc:Choice>
  </mc:AlternateContent>
  <xr:revisionPtr revIDLastSave="50" documentId="13_ncr:1_{D74246B1-BC08-4415-9C47-8F075A96E591}" xr6:coauthVersionLast="47" xr6:coauthVersionMax="47" xr10:uidLastSave="{F984A08B-6BBD-4799-8260-1182CD14CA27}"/>
  <bookViews>
    <workbookView xWindow="-110" yWindow="-110" windowWidth="19420" windowHeight="10300" xr2:uid="{72E82223-1544-4208-BC98-2502034C1DC4}"/>
  </bookViews>
  <sheets>
    <sheet name="Cover page" sheetId="4" r:id="rId1"/>
    <sheet name="PC" sheetId="1" r:id="rId2"/>
    <sheet name="BC" sheetId="2" r:id="rId3"/>
    <sheet name="Requirement defects" sheetId="3" r:id="rId4"/>
    <sheet name="E2E" sheetId="5" r:id="rId5"/>
    <sheet name="Regression exec defects" sheetId="6" r:id="rId6"/>
  </sheets>
  <definedNames>
    <definedName name="_xlnm._FilterDatabase" localSheetId="2" hidden="1">BC!$A$1:$H$34</definedName>
    <definedName name="_xlnm._FilterDatabase" localSheetId="1" hidden="1">PC!$A$1:$H$26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9" i="6" l="1"/>
  <c r="H15" i="4"/>
  <c r="G15" i="4"/>
  <c r="F15" i="4"/>
  <c r="E15" i="4"/>
  <c r="D15" i="4"/>
  <c r="H13" i="4"/>
  <c r="H12" i="4"/>
  <c r="F7" i="4"/>
  <c r="E7" i="4"/>
  <c r="D7" i="4"/>
  <c r="H37" i="2"/>
  <c r="G37" i="2"/>
  <c r="F37" i="2"/>
  <c r="H28" i="1"/>
  <c r="G28" i="1"/>
  <c r="F28" i="1"/>
</calcChain>
</file>

<file path=xl/sharedStrings.xml><?xml version="1.0" encoding="utf-8"?>
<sst xmlns="http://schemas.openxmlformats.org/spreadsheetml/2006/main" count="382" uniqueCount="228">
  <si>
    <t>Application</t>
  </si>
  <si>
    <t>No. of Test cases</t>
  </si>
  <si>
    <t>Execution efforts
(in Person Days)</t>
  </si>
  <si>
    <t>Script update efforts
(in Person Days)</t>
  </si>
  <si>
    <t>Policycenter</t>
  </si>
  <si>
    <t>Billingcenter</t>
  </si>
  <si>
    <t>Totals</t>
  </si>
  <si>
    <t>No. of  Test cases for  manual execution</t>
  </si>
  <si>
    <t>No. of  Test cases automation execution (Person Days)</t>
  </si>
  <si>
    <t>Manual Efforts needed for execution (Person Days)</t>
  </si>
  <si>
    <t>Automation efforts needed for execution (Person Days)</t>
  </si>
  <si>
    <t>Total efforts needed for execution (Person Days)</t>
  </si>
  <si>
    <t>Functionality Type</t>
  </si>
  <si>
    <t>Type / Functionality</t>
  </si>
  <si>
    <t>User stories list</t>
  </si>
  <si>
    <t>Implementation Type</t>
  </si>
  <si>
    <t>Test execution type</t>
  </si>
  <si>
    <t>Effort for execution 
(in Person days)</t>
  </si>
  <si>
    <t>Effort for Updating the scripts 
(in Person days)</t>
  </si>
  <si>
    <t>A. Product specific changes</t>
  </si>
  <si>
    <t>Product model
Marketable products
Visibility &amp; editablility conditions
OEP</t>
  </si>
  <si>
    <t>GPS-14143</t>
  </si>
  <si>
    <t>New implemetation</t>
  </si>
  <si>
    <t>Automated</t>
  </si>
  <si>
    <t>GPS-14089</t>
  </si>
  <si>
    <t>0,5</t>
  </si>
  <si>
    <t>GPS-14866</t>
  </si>
  <si>
    <t>Manual</t>
  </si>
  <si>
    <t>NA</t>
  </si>
  <si>
    <t>GPS-14286</t>
  </si>
  <si>
    <t>GPS-23550</t>
  </si>
  <si>
    <t>B. No changes for Cyber compared to ML/FI</t>
  </si>
  <si>
    <t>Account / submission creation and update</t>
  </si>
  <si>
    <t>GPS-14876, GPS-20089</t>
  </si>
  <si>
    <t>Reuse of ML / FI</t>
  </si>
  <si>
    <t xml:space="preserve"> Broker (Branch Office) &amp; Local PC Broker Contact Creation</t>
  </si>
  <si>
    <t xml:space="preserve">GPS-18855 </t>
  </si>
  <si>
    <t>Term Type,Policy Timezone</t>
  </si>
  <si>
    <t>GPS-18271</t>
  </si>
  <si>
    <t>Field level validations on different screens, Market Segment,COB Code, Trifocus Name and other fileds</t>
  </si>
  <si>
    <t xml:space="preserve">GPS-15015 &amp; GPS-14312, GPS-17029, GPS-20785 </t>
  </si>
  <si>
    <t>Coverages, Policy Line Split</t>
  </si>
  <si>
    <t xml:space="preserve">GPS-14083 &amp;  GPS-14083 </t>
  </si>
  <si>
    <t>Commissions, Fees, Discounts, Tax Schedule &amp; Tax Calculations, Multiple Risk locations, Portuguese Broker Stamp Duty, Standard / Default Brokerage, TPI % BPI %, Quote screen validations</t>
  </si>
  <si>
    <t>GPS-14985, GPS-16305, GPS-14313, GPS-16305 &amp; GPS-14133, GPS-14858</t>
  </si>
  <si>
    <t xml:space="preserve">Bind &amp; Issuance </t>
  </si>
  <si>
    <t>GPS-17490, GPS-16304</t>
  </si>
  <si>
    <t>Policy change, Premium Impacting Change</t>
  </si>
  <si>
    <t>GPS-14855</t>
  </si>
  <si>
    <t>Cancellation &amp; Reinstate</t>
  </si>
  <si>
    <t>GPS-16745, GPS-16744,  GPS-16705, GPS-17065</t>
  </si>
  <si>
    <t>Rewrite</t>
  </si>
  <si>
    <t>GPS-17191, GPS-17019</t>
  </si>
  <si>
    <t>Coinsurance Without Vertical Pricing</t>
  </si>
  <si>
    <t>GPS-19529 , GPS-17199</t>
  </si>
  <si>
    <t>Coinsurance Vertical Pricing</t>
  </si>
  <si>
    <t>GPS-17186</t>
  </si>
  <si>
    <t>Partial automated</t>
  </si>
  <si>
    <t>Contra</t>
  </si>
  <si>
    <t>GPS-14861</t>
  </si>
  <si>
    <t>UW Controls</t>
  </si>
  <si>
    <t>GPS-18366 &amp; GPS-17212</t>
  </si>
  <si>
    <t>Outward Reinsurance</t>
  </si>
  <si>
    <t>GPS-17190</t>
  </si>
  <si>
    <t>Upload docs</t>
  </si>
  <si>
    <t>GPS-20244</t>
  </si>
  <si>
    <t xml:space="preserve">Activity Pattern Uplift </t>
  </si>
  <si>
    <t>GPS-16303</t>
  </si>
  <si>
    <t>User Preference - Regional Display View (Common Screens)</t>
  </si>
  <si>
    <t>GPS-17064</t>
  </si>
  <si>
    <t>C. Exploratory testing</t>
  </si>
  <si>
    <t>All above mentioned functionalities</t>
  </si>
  <si>
    <t>All above mentioned stories</t>
  </si>
  <si>
    <t>D. Fixes and CRs (Subset)</t>
  </si>
  <si>
    <t>CRs and 19 Requirement defects</t>
  </si>
  <si>
    <t>20785, 21792, 18855, 23104, 24093, 23747, 23746, 24113, 24112, 24111, 24290</t>
  </si>
  <si>
    <t>A. No changes for Cyber compared to ML/FI</t>
  </si>
  <si>
    <t>Policy Summary and Policy Details</t>
  </si>
  <si>
    <t>GPS-14366</t>
  </si>
  <si>
    <t>Reuse of ML/FI</t>
  </si>
  <si>
    <t>Timezone &amp; Timestamp</t>
  </si>
  <si>
    <t>GPS-14428</t>
  </si>
  <si>
    <t>Bank Account Details</t>
  </si>
  <si>
    <t>GPS-14218</t>
  </si>
  <si>
    <t>Producer Summary  Details</t>
  </si>
  <si>
    <t>GPS-14374</t>
  </si>
  <si>
    <t>NB Billing Instructions</t>
  </si>
  <si>
    <t>GPS-14416</t>
  </si>
  <si>
    <t xml:space="preserve">Manage Policy Charges for NB </t>
  </si>
  <si>
    <t>GPS-14368 , GPS-14369</t>
  </si>
  <si>
    <t>Manage Invoices for NB</t>
  </si>
  <si>
    <t>GPS-14378,GPS-14377,GPS-14393,GPS-18305</t>
  </si>
  <si>
    <t>Send NB Invoice details to DPS</t>
  </si>
  <si>
    <t>GPS-15697</t>
  </si>
  <si>
    <t>Regenerate Invoice Docs in multiple languages in BC</t>
  </si>
  <si>
    <t>GPS-21124</t>
  </si>
  <si>
    <t>Manage Write-off , Negative write-off Transaction &amp; Producer Fund Transfer</t>
  </si>
  <si>
    <t>GPS-14402,GPS-14376</t>
  </si>
  <si>
    <t>Manage Disbursement</t>
  </si>
  <si>
    <t>GPS-17022</t>
  </si>
  <si>
    <t>Manage Credit Distributions</t>
  </si>
  <si>
    <t>GPS-17044</t>
  </si>
  <si>
    <t>Manage Credit Handling</t>
  </si>
  <si>
    <t>GPS-14397</t>
  </si>
  <si>
    <t>Manage Invoices for Policy Change</t>
  </si>
  <si>
    <t>GPS-16694,GPS-19008</t>
  </si>
  <si>
    <t>Manage Invoices for OEP</t>
  </si>
  <si>
    <t>GPS-14386,GPS-17089</t>
  </si>
  <si>
    <t>Broker of Record (BoR) Change</t>
  </si>
  <si>
    <t>GPS-18701</t>
  </si>
  <si>
    <t>Send Policy Change Invoice details to DPS</t>
  </si>
  <si>
    <t>GPS-17135,GPS-17137</t>
  </si>
  <si>
    <t>Process BIDAC Policies Cancellation transaction</t>
  </si>
  <si>
    <t>GPS-14405</t>
  </si>
  <si>
    <t>Create and manage Invoices for BIDAC Reinstated Policies</t>
  </si>
  <si>
    <t>GPS-14388</t>
  </si>
  <si>
    <t>Send Cancellation Details to DPS</t>
  </si>
  <si>
    <t>GPS-14421</t>
  </si>
  <si>
    <t>Manage Invoices for Contra Cancellation &amp; Replace Rewrite</t>
  </si>
  <si>
    <t>GPS-17835,GPS-17836</t>
  </si>
  <si>
    <t>Manage Invoices for Contra Override Transactions</t>
  </si>
  <si>
    <t>GPS-14384</t>
  </si>
  <si>
    <t>Billing instructions from PC for Coinsurance policies</t>
  </si>
  <si>
    <t>GPS-15846</t>
  </si>
  <si>
    <t>Manage Coinsurance Policy charges</t>
  </si>
  <si>
    <t>GPS-15847</t>
  </si>
  <si>
    <t>Manage Invoices for Coinsurance Policies without VERTICAL PRICING - Beazley as Leader &amp; Follower</t>
  </si>
  <si>
    <t>GPS-15848</t>
  </si>
  <si>
    <t>Manage Invoices for Coinsurance Policies with VERTICAL PRICING - Beazley as Leader &amp; Follower</t>
  </si>
  <si>
    <t>GPS-18702</t>
  </si>
  <si>
    <t>Manage Invoices &amp; allocation for Coinsurance policies - on Policy Change &amp; Cancellation</t>
  </si>
  <si>
    <t>GPS-20271,GPS-20272</t>
  </si>
  <si>
    <t>Send Coinsurance Invoice details to DPS</t>
  </si>
  <si>
    <t>GPS-15849</t>
  </si>
  <si>
    <t>Manage Invoices for Coinsurance policies - Contra Override &amp; Contra - Replace</t>
  </si>
  <si>
    <t>GPS-20273,GPS-20274,GPS-19047</t>
  </si>
  <si>
    <t>Manage Invoicing &amp; Allocation for Dummy Brokers Policies</t>
  </si>
  <si>
    <t>GPS-16447,GPS-14371</t>
  </si>
  <si>
    <t>Billing instructions from PC for Outward RI</t>
  </si>
  <si>
    <t>GPS-18306</t>
  </si>
  <si>
    <t>B. Exploratory testing</t>
  </si>
  <si>
    <t>C. Fixes and CRs (Subset)</t>
  </si>
  <si>
    <t>GPS-23461 - Requirement Defect: Producer Code Should Not Be Displayed in BillingCenter UI.
23744, 23977, 23973</t>
  </si>
  <si>
    <t>Issue key</t>
  </si>
  <si>
    <t>Summary</t>
  </si>
  <si>
    <t>GPS-22115</t>
  </si>
  <si>
    <t>GPS-14874 (Requirement clarification for AC09 &amp; PCBR-850)</t>
  </si>
  <si>
    <t>GPS-21992</t>
  </si>
  <si>
    <t>GPAS_PC_GPS-14143_ Requirement Defect_ Version should be 2.0 when language is 'German' and Base country is 'Switzerland' for Cyber products</t>
  </si>
  <si>
    <t>GPS-21834</t>
  </si>
  <si>
    <t xml:space="preserve">GPS-14133("Not required" should be removed from Tax collection basis) </t>
  </si>
  <si>
    <t>GPS-21644</t>
  </si>
  <si>
    <t>Requirement Defect_Business Policy should display with coinsurance suffix in Billing Center.</t>
  </si>
  <si>
    <t>GPS-21638</t>
  </si>
  <si>
    <t>GPS-14874(Need some clarification on Requirements)</t>
  </si>
  <si>
    <t>GPS-21590</t>
  </si>
  <si>
    <t>Requirement Update_GPS-17712-Appended Event should no longer be considered for ingestion of migrated renewal policies into PolicyCenter.</t>
  </si>
  <si>
    <t>GPS-21355</t>
  </si>
  <si>
    <t>GPAS_PC_GPS-17199_ Requirement Defect_Coinsurance Validations when Duplicate Coinsurer's are added and/or Lead Coinsurer is not added when Beazley's Role = Follow</t>
  </si>
  <si>
    <t>GPS-21353</t>
  </si>
  <si>
    <t>GPAS_PC_GPS-17199_ Requirement Defect_Tax% should not change when Tax amount is overridden</t>
  </si>
  <si>
    <t>GPS-21114</t>
  </si>
  <si>
    <t>Requirement defect_Country 'Netherlands Antilles' should be removed from Policy Address Country dropdown</t>
  </si>
  <si>
    <t>GPS-20838</t>
  </si>
  <si>
    <t>GPAS_PC_ Requirement Defect_ Abbreviated product names (FIPI, IMI, PEPL, POSI) incorrectly displayed in Marketable Product Type list</t>
  </si>
  <si>
    <t>GPS-20836</t>
  </si>
  <si>
    <t>GPAS_PC_ Requirement Defect _‘None’ option incorrectly displayed in US D&amp;O Insurance – Structure Type dropdown list</t>
  </si>
  <si>
    <t>GPS-20780</t>
  </si>
  <si>
    <t>Requirement-defect_ Policy Info – Incorrect Conditions for Primary Named Insured Picker</t>
  </si>
  <si>
    <t>GPS-19215</t>
  </si>
  <si>
    <t>Requirement Defect_GPS-14273-TypeFilter defaults and Broker editability ignoring Policy Change Reason for BIDACProducts</t>
  </si>
  <si>
    <t>GPS-19011</t>
  </si>
  <si>
    <t>Requirement-defect_ Excess Limit not displaying in UI and Attachment Point visibility unclear.</t>
  </si>
  <si>
    <t>GPS-18817</t>
  </si>
  <si>
    <t>Requirement defect_Trading name and Legal name mapping update from CRM to kafka to GWPC</t>
  </si>
  <si>
    <t>GPS-8339</t>
  </si>
  <si>
    <t xml:space="preserve">GPS-4818_Handling of Broker Changes on Policy Change Backdated to Effective Date – FLS update required </t>
  </si>
  <si>
    <t>GPS-597</t>
  </si>
  <si>
    <t>Change in Requirement - Status &amp; Sensitivity Defaults &amp; impact of Name update</t>
  </si>
  <si>
    <t>GPS-577</t>
  </si>
  <si>
    <t>GPAS_PC_Requirement defect_BZPC-214_“Address Lookup Service isn’t available right now. Please use the Override Address Lookup option or try again later” this warning message needs to dispaly when service unavailable</t>
  </si>
  <si>
    <t>GPS-22979</t>
  </si>
  <si>
    <t>Requirement Defect for Tax Collection Basis should get updated accordingly with change for one Tax Type</t>
  </si>
  <si>
    <t>Total</t>
  </si>
  <si>
    <t>Test cases</t>
  </si>
  <si>
    <t>identified during Cyber testing but were common for ML, FI (Incl invoices and Data )</t>
  </si>
  <si>
    <t>How many defects reported - Cyber only.</t>
  </si>
  <si>
    <t>Defect Number and Status</t>
  </si>
  <si>
    <t>No. of Defects</t>
  </si>
  <si>
    <t>GPS-22146 - Closed</t>
  </si>
  <si>
    <t>GPS-22030 - Closed</t>
  </si>
  <si>
    <t>GPS-22064 - Closed</t>
  </si>
  <si>
    <t>Total number of defects</t>
  </si>
  <si>
    <t>GPS-22150 - Closed</t>
  </si>
  <si>
    <t>Common defects b/w ML/FI &amp;Cyber</t>
  </si>
  <si>
    <t>GPS-22149 - Closed</t>
  </si>
  <si>
    <t>Cyber only defects</t>
  </si>
  <si>
    <t>GPS-22104 - Closed</t>
  </si>
  <si>
    <t>GPS-22169 - Closed</t>
  </si>
  <si>
    <t>GPS-22179 - Closed</t>
  </si>
  <si>
    <t>GPS-22191 - Closed</t>
  </si>
  <si>
    <t>GPS-22269 - Closed</t>
  </si>
  <si>
    <t>GPS-22450 - Closed</t>
  </si>
  <si>
    <t>GPS-22451 - Closed</t>
  </si>
  <si>
    <t>GPS-22695 - Closed</t>
  </si>
  <si>
    <t>GPS-22854 - Closed</t>
  </si>
  <si>
    <t>GPS-22928 - Closed</t>
  </si>
  <si>
    <t>GPS-21091 - Closed</t>
  </si>
  <si>
    <t>GPS-20971 - Closed</t>
  </si>
  <si>
    <t>GPS-21448 - Closed</t>
  </si>
  <si>
    <t>GPS-21463 - Closed</t>
  </si>
  <si>
    <t>GPS-21904 - Closed</t>
  </si>
  <si>
    <t>GPS-21993 - Closed</t>
  </si>
  <si>
    <t>GPS-22022 - Closed</t>
  </si>
  <si>
    <t>GPS-22023 - Closed</t>
  </si>
  <si>
    <t>GPS-22447 - Closed</t>
  </si>
  <si>
    <t>GPS-22511 - Closed</t>
  </si>
  <si>
    <t>GPS-23209 - Closed</t>
  </si>
  <si>
    <t>GPS-24256 - Closed</t>
  </si>
  <si>
    <t>GPS-23411 - Closed</t>
  </si>
  <si>
    <t>Cyber only</t>
  </si>
  <si>
    <t>GPS-23397 - Closed</t>
  </si>
  <si>
    <t>GPS-23322 - Closed</t>
  </si>
  <si>
    <t>ML &amp; Cyber</t>
  </si>
  <si>
    <t>GPS-23399 - Closed</t>
  </si>
  <si>
    <t>GPS-23353 - Closed</t>
  </si>
  <si>
    <t>GPS-23452 - Closed</t>
  </si>
  <si>
    <t>GPS-23363 -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</si>
</sst>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1" fillId="3" borderId="4" xfId="0" applyFont="1" applyFill="1" applyBorder="1"/>
    <xf numFmtId="0" fontId="1" fillId="3" borderId="5" xfId="0" applyFont="1" applyFill="1" applyBorder="1"/>
    <xf numFmtId="0" fontId="1" fillId="3" borderId="5" xfId="0" applyFont="1" applyFill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1" fillId="0" borderId="1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center"/>
    </xf>
    <xf numFmtId="0" fontId="0" fillId="0" borderId="14" xfId="0" applyBorder="1"/>
    <xf numFmtId="0" fontId="1" fillId="0" borderId="4" xfId="0" applyFont="1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0" fillId="0" borderId="12" xfId="0" applyBorder="1"/>
    <xf numFmtId="0" fontId="0" fillId="0" borderId="18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78150-93D2-435A-AE4E-C99DF44FCC7B}">
  <dimension ref="C2:H15"/>
  <sheetViews>
    <sheetView tabSelected="1" topLeftCell="A5" workbookViewId="0">
      <selection activeCell="F12" sqref="F12"/>
    </sheetView>
  </sheetViews>
  <sheetFormatPr defaultRowHeight="14.45"/>
  <cols>
    <col min="3" max="3" width="16.42578125" customWidth="1"/>
    <col min="4" max="4" width="17.5703125" customWidth="1"/>
    <col min="5" max="5" width="18.85546875" customWidth="1"/>
    <col min="6" max="6" width="19" customWidth="1"/>
    <col min="7" max="7" width="24.28515625" customWidth="1"/>
    <col min="8" max="8" width="26.42578125" customWidth="1"/>
  </cols>
  <sheetData>
    <row r="2" spans="3:8" ht="15" thickBot="1"/>
    <row r="3" spans="3:8" ht="29.45" thickBot="1">
      <c r="C3" s="22" t="s">
        <v>0</v>
      </c>
      <c r="D3" s="23" t="s">
        <v>1</v>
      </c>
      <c r="E3" s="24" t="s">
        <v>2</v>
      </c>
      <c r="F3" s="25" t="s">
        <v>3</v>
      </c>
    </row>
    <row r="4" spans="3:8">
      <c r="C4" s="26" t="s">
        <v>4</v>
      </c>
      <c r="D4" s="27">
        <v>885</v>
      </c>
      <c r="E4" s="27">
        <v>25.5</v>
      </c>
      <c r="F4" s="28">
        <v>7</v>
      </c>
    </row>
    <row r="5" spans="3:8" ht="15" thickBot="1">
      <c r="C5" s="29" t="s">
        <v>5</v>
      </c>
      <c r="D5" s="30">
        <v>585</v>
      </c>
      <c r="E5" s="30">
        <v>24.15</v>
      </c>
      <c r="F5" s="31">
        <v>0</v>
      </c>
    </row>
    <row r="6" spans="3:8" ht="15" thickBot="1">
      <c r="C6" s="32"/>
      <c r="D6" s="21"/>
      <c r="E6" s="21"/>
      <c r="F6" s="33"/>
    </row>
    <row r="7" spans="3:8" ht="15" thickBot="1">
      <c r="C7" s="40" t="s">
        <v>6</v>
      </c>
      <c r="D7" s="34">
        <f>SUM(D4:D5)</f>
        <v>1470</v>
      </c>
      <c r="E7" s="34">
        <f>SUM(E4:E5)</f>
        <v>49.65</v>
      </c>
      <c r="F7" s="34">
        <f>SUM(F4:F5)</f>
        <v>7</v>
      </c>
    </row>
    <row r="10" spans="3:8" ht="15" thickBot="1"/>
    <row r="11" spans="3:8" ht="58.5" thickBot="1">
      <c r="C11" s="22" t="s">
        <v>0</v>
      </c>
      <c r="D11" s="24" t="s">
        <v>7</v>
      </c>
      <c r="E11" s="24" t="s">
        <v>8</v>
      </c>
      <c r="F11" s="24" t="s">
        <v>9</v>
      </c>
      <c r="G11" s="24" t="s">
        <v>10</v>
      </c>
      <c r="H11" s="25" t="s">
        <v>11</v>
      </c>
    </row>
    <row r="12" spans="3:8">
      <c r="C12" s="36" t="s">
        <v>4</v>
      </c>
      <c r="D12" s="27">
        <v>314</v>
      </c>
      <c r="E12" s="27">
        <v>571</v>
      </c>
      <c r="F12" s="27">
        <v>16</v>
      </c>
      <c r="G12" s="27">
        <v>9.5</v>
      </c>
      <c r="H12" s="28">
        <f>F12+G12</f>
        <v>25.5</v>
      </c>
    </row>
    <row r="13" spans="3:8" ht="15" thickBot="1">
      <c r="C13" s="37" t="s">
        <v>5</v>
      </c>
      <c r="D13" s="30">
        <v>316</v>
      </c>
      <c r="E13" s="38">
        <v>269</v>
      </c>
      <c r="F13" s="30">
        <v>15.25</v>
      </c>
      <c r="G13" s="30">
        <v>8.9</v>
      </c>
      <c r="H13" s="31">
        <f>F13+G13</f>
        <v>24.15</v>
      </c>
    </row>
    <row r="14" spans="3:8" ht="15" thickBot="1">
      <c r="C14" s="32"/>
      <c r="H14" s="39"/>
    </row>
    <row r="15" spans="3:8" ht="15" thickBot="1">
      <c r="C15" s="40" t="s">
        <v>6</v>
      </c>
      <c r="D15" s="34">
        <f>SUM(D12:D13)</f>
        <v>630</v>
      </c>
      <c r="E15" s="34">
        <f t="shared" ref="E15:H15" si="0">SUM(E12:E13)</f>
        <v>840</v>
      </c>
      <c r="F15" s="34">
        <f t="shared" si="0"/>
        <v>31.25</v>
      </c>
      <c r="G15" s="34">
        <f t="shared" si="0"/>
        <v>18.399999999999999</v>
      </c>
      <c r="H15" s="35">
        <f t="shared" si="0"/>
        <v>49.65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4EFE-1F74-4632-AEDB-69EAAFEF26D6}">
  <dimension ref="A1:H30"/>
  <sheetViews>
    <sheetView topLeftCell="A9" zoomScale="80" zoomScaleNormal="80" workbookViewId="0">
      <selection activeCell="F13" sqref="F13:F19"/>
    </sheetView>
  </sheetViews>
  <sheetFormatPr defaultRowHeight="14.45"/>
  <cols>
    <col min="1" max="1" width="21" customWidth="1"/>
    <col min="2" max="2" width="38.5703125" customWidth="1"/>
    <col min="3" max="3" width="26.42578125" bestFit="1" customWidth="1"/>
    <col min="4" max="4" width="24.85546875" customWidth="1"/>
    <col min="5" max="5" width="20.7109375" customWidth="1"/>
    <col min="6" max="6" width="16.140625" style="12" customWidth="1"/>
    <col min="7" max="7" width="24" customWidth="1"/>
    <col min="8" max="8" width="17.5703125" customWidth="1"/>
    <col min="9" max="9" width="12.5703125" customWidth="1"/>
  </cols>
  <sheetData>
    <row r="1" spans="1:8" ht="43.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2" t="s">
        <v>1</v>
      </c>
      <c r="G1" s="13" t="s">
        <v>17</v>
      </c>
      <c r="H1" s="13" t="s">
        <v>18</v>
      </c>
    </row>
    <row r="2" spans="1:8">
      <c r="A2" s="46" t="s">
        <v>19</v>
      </c>
      <c r="B2" s="46" t="s">
        <v>20</v>
      </c>
      <c r="C2" s="4" t="s">
        <v>21</v>
      </c>
      <c r="D2" s="5" t="s">
        <v>22</v>
      </c>
      <c r="E2" s="5" t="s">
        <v>23</v>
      </c>
      <c r="F2" s="6">
        <v>28</v>
      </c>
      <c r="G2" s="15">
        <v>0.5</v>
      </c>
      <c r="H2" s="6">
        <v>0</v>
      </c>
    </row>
    <row r="3" spans="1:8">
      <c r="A3" s="46"/>
      <c r="B3" s="47"/>
      <c r="C3" s="4" t="s">
        <v>24</v>
      </c>
      <c r="D3" s="5" t="s">
        <v>22</v>
      </c>
      <c r="E3" s="5" t="s">
        <v>23</v>
      </c>
      <c r="F3" s="6">
        <v>28</v>
      </c>
      <c r="G3" s="6" t="s">
        <v>25</v>
      </c>
      <c r="H3" s="6">
        <v>0</v>
      </c>
    </row>
    <row r="4" spans="1:8">
      <c r="A4" s="46"/>
      <c r="B4" s="47"/>
      <c r="C4" s="4" t="s">
        <v>26</v>
      </c>
      <c r="D4" s="5" t="s">
        <v>22</v>
      </c>
      <c r="E4" s="5" t="s">
        <v>27</v>
      </c>
      <c r="F4" s="6">
        <v>15</v>
      </c>
      <c r="G4" s="6">
        <v>0.5</v>
      </c>
      <c r="H4" s="9" t="s">
        <v>28</v>
      </c>
    </row>
    <row r="5" spans="1:8">
      <c r="A5" s="46"/>
      <c r="B5" s="47"/>
      <c r="C5" s="4" t="s">
        <v>29</v>
      </c>
      <c r="D5" s="5" t="s">
        <v>22</v>
      </c>
      <c r="E5" s="5" t="s">
        <v>27</v>
      </c>
      <c r="F5" s="6">
        <v>12</v>
      </c>
      <c r="G5" s="6">
        <v>0.5</v>
      </c>
      <c r="H5" s="9" t="s">
        <v>28</v>
      </c>
    </row>
    <row r="6" spans="1:8">
      <c r="A6" s="46"/>
      <c r="B6" s="47"/>
      <c r="C6" s="5" t="s">
        <v>30</v>
      </c>
      <c r="D6" s="5" t="s">
        <v>22</v>
      </c>
      <c r="E6" s="5" t="s">
        <v>23</v>
      </c>
      <c r="F6" s="6">
        <v>18</v>
      </c>
      <c r="G6" s="6">
        <v>0.5</v>
      </c>
      <c r="H6" s="6">
        <v>0</v>
      </c>
    </row>
    <row r="7" spans="1:8">
      <c r="A7" s="48" t="s">
        <v>31</v>
      </c>
      <c r="B7" s="7" t="s">
        <v>32</v>
      </c>
      <c r="C7" s="8" t="s">
        <v>33</v>
      </c>
      <c r="D7" s="7" t="s">
        <v>34</v>
      </c>
      <c r="E7" s="7" t="s">
        <v>23</v>
      </c>
      <c r="F7" s="9">
        <v>50</v>
      </c>
      <c r="G7" s="15">
        <v>0.5</v>
      </c>
      <c r="H7" s="6">
        <v>0</v>
      </c>
    </row>
    <row r="8" spans="1:8" ht="29.1">
      <c r="A8" s="48"/>
      <c r="B8" s="11" t="s">
        <v>35</v>
      </c>
      <c r="C8" s="7" t="s">
        <v>36</v>
      </c>
      <c r="D8" s="7" t="s">
        <v>34</v>
      </c>
      <c r="E8" s="7" t="s">
        <v>27</v>
      </c>
      <c r="F8" s="9">
        <v>13</v>
      </c>
      <c r="G8" s="14">
        <v>2</v>
      </c>
      <c r="H8" s="9" t="s">
        <v>28</v>
      </c>
    </row>
    <row r="9" spans="1:8">
      <c r="A9" s="48"/>
      <c r="B9" s="3" t="s">
        <v>37</v>
      </c>
      <c r="C9" s="8" t="s">
        <v>38</v>
      </c>
      <c r="D9" s="7" t="s">
        <v>34</v>
      </c>
      <c r="E9" s="7" t="s">
        <v>23</v>
      </c>
      <c r="F9" s="9">
        <v>58</v>
      </c>
      <c r="G9" s="15">
        <v>0.5</v>
      </c>
      <c r="H9" s="6">
        <v>0</v>
      </c>
    </row>
    <row r="10" spans="1:8" ht="43.5">
      <c r="A10" s="48"/>
      <c r="B10" s="10" t="s">
        <v>39</v>
      </c>
      <c r="C10" s="11" t="s">
        <v>40</v>
      </c>
      <c r="D10" s="7" t="s">
        <v>34</v>
      </c>
      <c r="E10" s="7" t="s">
        <v>23</v>
      </c>
      <c r="F10" s="9">
        <v>50</v>
      </c>
      <c r="G10" s="15">
        <v>1</v>
      </c>
      <c r="H10" s="6">
        <v>1</v>
      </c>
    </row>
    <row r="11" spans="1:8">
      <c r="A11" s="48"/>
      <c r="B11" s="11" t="s">
        <v>41</v>
      </c>
      <c r="C11" s="11" t="s">
        <v>42</v>
      </c>
      <c r="D11" s="5" t="s">
        <v>34</v>
      </c>
      <c r="E11" s="5" t="s">
        <v>23</v>
      </c>
      <c r="F11" s="6">
        <v>44</v>
      </c>
      <c r="G11" s="15">
        <v>0.5</v>
      </c>
      <c r="H11" s="6">
        <v>0.5</v>
      </c>
    </row>
    <row r="12" spans="1:8" ht="72.599999999999994">
      <c r="A12" s="48"/>
      <c r="B12" s="3" t="s">
        <v>43</v>
      </c>
      <c r="C12" s="11" t="s">
        <v>44</v>
      </c>
      <c r="D12" s="5" t="s">
        <v>34</v>
      </c>
      <c r="E12" s="5" t="s">
        <v>23</v>
      </c>
      <c r="F12" s="6">
        <v>73</v>
      </c>
      <c r="G12" s="15">
        <v>1</v>
      </c>
      <c r="H12" s="6">
        <v>1</v>
      </c>
    </row>
    <row r="13" spans="1:8">
      <c r="A13" s="48"/>
      <c r="B13" s="11" t="s">
        <v>45</v>
      </c>
      <c r="C13" s="7" t="s">
        <v>46</v>
      </c>
      <c r="D13" s="7" t="s">
        <v>34</v>
      </c>
      <c r="E13" s="7" t="s">
        <v>23</v>
      </c>
      <c r="F13" s="9">
        <v>15</v>
      </c>
      <c r="G13" s="15">
        <v>0.5</v>
      </c>
      <c r="H13" s="6">
        <v>0.5</v>
      </c>
    </row>
    <row r="14" spans="1:8">
      <c r="A14" s="48"/>
      <c r="B14" s="11" t="s">
        <v>47</v>
      </c>
      <c r="C14" s="7" t="s">
        <v>48</v>
      </c>
      <c r="D14" s="7" t="s">
        <v>34</v>
      </c>
      <c r="E14" s="7" t="s">
        <v>23</v>
      </c>
      <c r="F14" s="9">
        <v>22</v>
      </c>
      <c r="G14" s="15">
        <v>0.5</v>
      </c>
      <c r="H14" s="6">
        <v>0.5</v>
      </c>
    </row>
    <row r="15" spans="1:8" ht="29.1">
      <c r="A15" s="48"/>
      <c r="B15" s="11" t="s">
        <v>49</v>
      </c>
      <c r="C15" s="10" t="s">
        <v>50</v>
      </c>
      <c r="D15" s="7" t="s">
        <v>34</v>
      </c>
      <c r="E15" s="7" t="s">
        <v>23</v>
      </c>
      <c r="F15" s="9">
        <v>15</v>
      </c>
      <c r="G15" s="15">
        <v>0.5</v>
      </c>
      <c r="H15" s="6">
        <v>1</v>
      </c>
    </row>
    <row r="16" spans="1:8">
      <c r="A16" s="48"/>
      <c r="B16" s="11" t="s">
        <v>51</v>
      </c>
      <c r="C16" s="7" t="s">
        <v>52</v>
      </c>
      <c r="D16" s="7" t="s">
        <v>34</v>
      </c>
      <c r="E16" s="7" t="s">
        <v>23</v>
      </c>
      <c r="F16" s="9">
        <v>33</v>
      </c>
      <c r="G16" s="15">
        <v>0.5</v>
      </c>
      <c r="H16" s="6">
        <v>0.5</v>
      </c>
    </row>
    <row r="17" spans="1:8">
      <c r="A17" s="48"/>
      <c r="B17" s="3" t="s">
        <v>53</v>
      </c>
      <c r="C17" s="7" t="s">
        <v>54</v>
      </c>
      <c r="D17" s="7" t="s">
        <v>34</v>
      </c>
      <c r="E17" s="7" t="s">
        <v>23</v>
      </c>
      <c r="F17" s="9">
        <v>40</v>
      </c>
      <c r="G17" s="15">
        <v>0.5</v>
      </c>
      <c r="H17" s="6">
        <v>1</v>
      </c>
    </row>
    <row r="18" spans="1:8">
      <c r="A18" s="48"/>
      <c r="B18" s="3" t="s">
        <v>55</v>
      </c>
      <c r="C18" s="7" t="s">
        <v>56</v>
      </c>
      <c r="D18" s="7" t="s">
        <v>34</v>
      </c>
      <c r="E18" s="7" t="s">
        <v>57</v>
      </c>
      <c r="F18" s="9">
        <v>32</v>
      </c>
      <c r="G18" s="9">
        <v>3</v>
      </c>
      <c r="H18" s="9" t="s">
        <v>28</v>
      </c>
    </row>
    <row r="19" spans="1:8">
      <c r="A19" s="48"/>
      <c r="B19" s="3" t="s">
        <v>58</v>
      </c>
      <c r="C19" s="3" t="s">
        <v>59</v>
      </c>
      <c r="D19" s="7" t="s">
        <v>34</v>
      </c>
      <c r="E19" s="7" t="s">
        <v>23</v>
      </c>
      <c r="F19" s="9">
        <v>20</v>
      </c>
      <c r="G19" s="16">
        <v>0.75</v>
      </c>
      <c r="H19" s="6">
        <v>0</v>
      </c>
    </row>
    <row r="20" spans="1:8">
      <c r="A20" s="48"/>
      <c r="B20" s="11" t="s">
        <v>60</v>
      </c>
      <c r="C20" s="11" t="s">
        <v>61</v>
      </c>
      <c r="D20" s="7" t="s">
        <v>34</v>
      </c>
      <c r="E20" s="7" t="s">
        <v>23</v>
      </c>
      <c r="F20" s="9">
        <v>40</v>
      </c>
      <c r="G20" s="15">
        <v>0.5</v>
      </c>
      <c r="H20" s="6">
        <v>1</v>
      </c>
    </row>
    <row r="21" spans="1:8">
      <c r="A21" s="48"/>
      <c r="B21" s="11" t="s">
        <v>62</v>
      </c>
      <c r="C21" s="11" t="s">
        <v>63</v>
      </c>
      <c r="D21" s="7" t="s">
        <v>34</v>
      </c>
      <c r="E21" s="7" t="s">
        <v>23</v>
      </c>
      <c r="F21" s="9">
        <v>9</v>
      </c>
      <c r="G21" s="15">
        <v>0.5</v>
      </c>
      <c r="H21" s="6">
        <v>0</v>
      </c>
    </row>
    <row r="22" spans="1:8">
      <c r="A22" s="48"/>
      <c r="B22" s="11" t="s">
        <v>64</v>
      </c>
      <c r="C22" s="11" t="s">
        <v>65</v>
      </c>
      <c r="D22" s="7" t="s">
        <v>34</v>
      </c>
      <c r="E22" s="7" t="s">
        <v>23</v>
      </c>
      <c r="F22" s="9">
        <v>10</v>
      </c>
      <c r="G22" s="15">
        <v>0.25</v>
      </c>
      <c r="H22" s="6">
        <v>0</v>
      </c>
    </row>
    <row r="23" spans="1:8">
      <c r="A23" s="48"/>
      <c r="B23" s="11" t="s">
        <v>66</v>
      </c>
      <c r="C23" s="11" t="s">
        <v>67</v>
      </c>
      <c r="D23" s="7" t="s">
        <v>34</v>
      </c>
      <c r="E23" s="7" t="s">
        <v>23</v>
      </c>
      <c r="F23" s="9">
        <v>10</v>
      </c>
      <c r="G23" s="15">
        <v>0.25</v>
      </c>
      <c r="H23" s="6">
        <v>0</v>
      </c>
    </row>
    <row r="24" spans="1:8" ht="29.1">
      <c r="A24" s="48"/>
      <c r="B24" s="11" t="s">
        <v>68</v>
      </c>
      <c r="C24" s="11" t="s">
        <v>69</v>
      </c>
      <c r="D24" s="7" t="s">
        <v>34</v>
      </c>
      <c r="E24" s="7" t="s">
        <v>23</v>
      </c>
      <c r="F24" s="9">
        <v>8</v>
      </c>
      <c r="G24" s="15">
        <v>0.25</v>
      </c>
      <c r="H24" s="6">
        <v>0</v>
      </c>
    </row>
    <row r="25" spans="1:8">
      <c r="A25" s="7" t="s">
        <v>70</v>
      </c>
      <c r="B25" s="7" t="s">
        <v>71</v>
      </c>
      <c r="C25" s="7" t="s">
        <v>72</v>
      </c>
      <c r="D25" s="7" t="s">
        <v>34</v>
      </c>
      <c r="E25" s="7" t="s">
        <v>27</v>
      </c>
      <c r="F25" s="9">
        <v>192</v>
      </c>
      <c r="G25" s="14">
        <v>5</v>
      </c>
      <c r="H25" s="9" t="s">
        <v>28</v>
      </c>
    </row>
    <row r="26" spans="1:8" ht="29.1">
      <c r="A26" s="10" t="s">
        <v>73</v>
      </c>
      <c r="B26" s="7" t="s">
        <v>74</v>
      </c>
      <c r="C26" s="7" t="s">
        <v>75</v>
      </c>
      <c r="D26" s="7" t="s">
        <v>34</v>
      </c>
      <c r="E26" s="7" t="s">
        <v>27</v>
      </c>
      <c r="F26" s="9">
        <v>50</v>
      </c>
      <c r="G26" s="14">
        <v>5</v>
      </c>
      <c r="H26" s="9" t="s">
        <v>28</v>
      </c>
    </row>
    <row r="28" spans="1:8">
      <c r="F28" s="17">
        <f>SUM(F2:F26)</f>
        <v>885</v>
      </c>
      <c r="G28" s="17">
        <f>SUM(G2:G26)</f>
        <v>25.5</v>
      </c>
      <c r="H28" s="17">
        <f>SUM(H2:H26)</f>
        <v>7</v>
      </c>
    </row>
    <row r="29" spans="1:8">
      <c r="F29"/>
    </row>
    <row r="30" spans="1:8">
      <c r="F30"/>
    </row>
  </sheetData>
  <autoFilter ref="A1:H26" xr:uid="{19364EFE-1F74-4632-AEDB-69EAAFEF26D6}"/>
  <mergeCells count="3">
    <mergeCell ref="A2:A6"/>
    <mergeCell ref="B2:B6"/>
    <mergeCell ref="A7:A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D88E7-9272-445F-B0CB-34E3FFEADA6B}">
  <dimension ref="A1:H37"/>
  <sheetViews>
    <sheetView topLeftCell="A26" zoomScale="80" zoomScaleNormal="80" workbookViewId="0">
      <selection activeCell="B40" sqref="B39:B40"/>
    </sheetView>
  </sheetViews>
  <sheetFormatPr defaultRowHeight="14.45"/>
  <cols>
    <col min="1" max="1" width="17.85546875" customWidth="1"/>
    <col min="2" max="2" width="66.42578125" style="20" customWidth="1"/>
    <col min="3" max="3" width="39.140625" bestFit="1" customWidth="1"/>
    <col min="4" max="4" width="19.28515625" bestFit="1" customWidth="1"/>
    <col min="5" max="5" width="9.7109375" bestFit="1" customWidth="1"/>
    <col min="6" max="6" width="15.140625" bestFit="1" customWidth="1"/>
    <col min="7" max="7" width="11.42578125" customWidth="1"/>
    <col min="8" max="8" width="13.7109375" customWidth="1"/>
  </cols>
  <sheetData>
    <row r="1" spans="1:8" ht="72.599999999999994" customHeight="1">
      <c r="A1" s="1" t="s">
        <v>12</v>
      </c>
      <c r="B1" s="13" t="s">
        <v>13</v>
      </c>
      <c r="C1" s="1" t="s">
        <v>14</v>
      </c>
      <c r="D1" s="1" t="s">
        <v>15</v>
      </c>
      <c r="E1" s="1" t="s">
        <v>16</v>
      </c>
      <c r="F1" s="2" t="s">
        <v>1</v>
      </c>
      <c r="G1" s="13" t="s">
        <v>17</v>
      </c>
      <c r="H1" s="13" t="s">
        <v>18</v>
      </c>
    </row>
    <row r="2" spans="1:8">
      <c r="A2" s="49" t="s">
        <v>76</v>
      </c>
      <c r="B2" s="10" t="s">
        <v>77</v>
      </c>
      <c r="C2" s="7" t="s">
        <v>78</v>
      </c>
      <c r="D2" s="7" t="s">
        <v>79</v>
      </c>
      <c r="E2" s="7" t="s">
        <v>23</v>
      </c>
      <c r="F2" s="6">
        <v>1</v>
      </c>
      <c r="G2" s="50">
        <v>0.25</v>
      </c>
      <c r="H2" s="6">
        <v>0</v>
      </c>
    </row>
    <row r="3" spans="1:8">
      <c r="A3" s="49"/>
      <c r="B3" s="10" t="s">
        <v>80</v>
      </c>
      <c r="C3" s="7" t="s">
        <v>81</v>
      </c>
      <c r="D3" s="7" t="s">
        <v>79</v>
      </c>
      <c r="E3" s="7" t="s">
        <v>23</v>
      </c>
      <c r="F3" s="6">
        <v>1</v>
      </c>
      <c r="G3" s="51"/>
      <c r="H3" s="6">
        <v>0</v>
      </c>
    </row>
    <row r="4" spans="1:8">
      <c r="A4" s="49"/>
      <c r="B4" s="10" t="s">
        <v>82</v>
      </c>
      <c r="C4" s="7" t="s">
        <v>83</v>
      </c>
      <c r="D4" s="7" t="s">
        <v>79</v>
      </c>
      <c r="E4" s="7" t="s">
        <v>23</v>
      </c>
      <c r="F4" s="6">
        <v>7</v>
      </c>
      <c r="G4" s="6">
        <v>0.4</v>
      </c>
      <c r="H4" s="6">
        <v>0</v>
      </c>
    </row>
    <row r="5" spans="1:8">
      <c r="A5" s="49"/>
      <c r="B5" s="10" t="s">
        <v>84</v>
      </c>
      <c r="C5" s="7" t="s">
        <v>85</v>
      </c>
      <c r="D5" s="7" t="s">
        <v>79</v>
      </c>
      <c r="E5" s="7" t="s">
        <v>23</v>
      </c>
      <c r="F5" s="6">
        <v>1</v>
      </c>
      <c r="G5" s="50">
        <v>0.25</v>
      </c>
      <c r="H5" s="6">
        <v>0</v>
      </c>
    </row>
    <row r="6" spans="1:8">
      <c r="A6" s="49"/>
      <c r="B6" s="10" t="s">
        <v>86</v>
      </c>
      <c r="C6" s="7" t="s">
        <v>87</v>
      </c>
      <c r="D6" s="7" t="s">
        <v>79</v>
      </c>
      <c r="E6" s="7" t="s">
        <v>23</v>
      </c>
      <c r="F6" s="6">
        <v>1</v>
      </c>
      <c r="G6" s="51"/>
      <c r="H6" s="6">
        <v>0</v>
      </c>
    </row>
    <row r="7" spans="1:8">
      <c r="A7" s="49"/>
      <c r="B7" s="10" t="s">
        <v>88</v>
      </c>
      <c r="C7" s="7" t="s">
        <v>89</v>
      </c>
      <c r="D7" s="7" t="s">
        <v>79</v>
      </c>
      <c r="E7" s="7" t="s">
        <v>23</v>
      </c>
      <c r="F7" s="6">
        <v>16</v>
      </c>
      <c r="G7" s="6">
        <v>0.5</v>
      </c>
      <c r="H7" s="6">
        <v>0</v>
      </c>
    </row>
    <row r="8" spans="1:8">
      <c r="A8" s="49"/>
      <c r="B8" s="10" t="s">
        <v>90</v>
      </c>
      <c r="C8" s="7" t="s">
        <v>91</v>
      </c>
      <c r="D8" s="7" t="s">
        <v>79</v>
      </c>
      <c r="E8" s="7" t="s">
        <v>23</v>
      </c>
      <c r="F8" s="6">
        <v>58</v>
      </c>
      <c r="G8" s="6">
        <v>1</v>
      </c>
      <c r="H8" s="6">
        <v>0</v>
      </c>
    </row>
    <row r="9" spans="1:8">
      <c r="A9" s="49"/>
      <c r="B9" s="10" t="s">
        <v>92</v>
      </c>
      <c r="C9" s="7" t="s">
        <v>93</v>
      </c>
      <c r="D9" s="7" t="s">
        <v>79</v>
      </c>
      <c r="E9" s="7" t="s">
        <v>27</v>
      </c>
      <c r="F9" s="9">
        <v>5</v>
      </c>
      <c r="G9" s="6">
        <v>0.25</v>
      </c>
      <c r="H9" s="6" t="s">
        <v>28</v>
      </c>
    </row>
    <row r="10" spans="1:8">
      <c r="A10" s="49"/>
      <c r="B10" s="10" t="s">
        <v>94</v>
      </c>
      <c r="C10" s="7" t="s">
        <v>95</v>
      </c>
      <c r="D10" s="7" t="s">
        <v>79</v>
      </c>
      <c r="E10" s="7" t="s">
        <v>27</v>
      </c>
      <c r="F10" s="9">
        <v>10</v>
      </c>
      <c r="G10" s="6">
        <v>0.5</v>
      </c>
      <c r="H10" s="6" t="s">
        <v>28</v>
      </c>
    </row>
    <row r="11" spans="1:8">
      <c r="A11" s="49"/>
      <c r="B11" s="10" t="s">
        <v>96</v>
      </c>
      <c r="C11" s="7" t="s">
        <v>97</v>
      </c>
      <c r="D11" s="7" t="s">
        <v>79</v>
      </c>
      <c r="E11" s="7" t="s">
        <v>23</v>
      </c>
      <c r="F11" s="6">
        <v>41</v>
      </c>
      <c r="G11" s="6">
        <v>1</v>
      </c>
      <c r="H11" s="6">
        <v>0</v>
      </c>
    </row>
    <row r="12" spans="1:8">
      <c r="A12" s="49"/>
      <c r="B12" s="10" t="s">
        <v>98</v>
      </c>
      <c r="C12" s="7" t="s">
        <v>99</v>
      </c>
      <c r="D12" s="7" t="s">
        <v>79</v>
      </c>
      <c r="E12" s="7" t="s">
        <v>23</v>
      </c>
      <c r="F12" s="6">
        <v>10</v>
      </c>
      <c r="G12" s="6">
        <v>0.5</v>
      </c>
      <c r="H12" s="6">
        <v>0</v>
      </c>
    </row>
    <row r="13" spans="1:8">
      <c r="A13" s="49"/>
      <c r="B13" s="10" t="s">
        <v>100</v>
      </c>
      <c r="C13" s="7" t="s">
        <v>101</v>
      </c>
      <c r="D13" s="7" t="s">
        <v>79</v>
      </c>
      <c r="E13" s="7" t="s">
        <v>23</v>
      </c>
      <c r="F13" s="6">
        <v>9</v>
      </c>
      <c r="G13" s="6">
        <v>0.5</v>
      </c>
      <c r="H13" s="6">
        <v>0</v>
      </c>
    </row>
    <row r="14" spans="1:8">
      <c r="A14" s="49"/>
      <c r="B14" s="10" t="s">
        <v>102</v>
      </c>
      <c r="C14" s="7" t="s">
        <v>103</v>
      </c>
      <c r="D14" s="7" t="s">
        <v>79</v>
      </c>
      <c r="E14" s="7" t="s">
        <v>23</v>
      </c>
      <c r="F14" s="6">
        <v>11</v>
      </c>
      <c r="G14" s="6">
        <v>0.5</v>
      </c>
      <c r="H14" s="6">
        <v>0</v>
      </c>
    </row>
    <row r="15" spans="1:8">
      <c r="A15" s="49"/>
      <c r="B15" s="10" t="s">
        <v>104</v>
      </c>
      <c r="C15" s="7" t="s">
        <v>105</v>
      </c>
      <c r="D15" s="7" t="s">
        <v>79</v>
      </c>
      <c r="E15" s="7" t="s">
        <v>23</v>
      </c>
      <c r="F15" s="6">
        <v>20</v>
      </c>
      <c r="G15" s="6">
        <v>0.5</v>
      </c>
      <c r="H15" s="6">
        <v>0</v>
      </c>
    </row>
    <row r="16" spans="1:8">
      <c r="A16" s="49"/>
      <c r="B16" s="10" t="s">
        <v>106</v>
      </c>
      <c r="C16" s="7" t="s">
        <v>107</v>
      </c>
      <c r="D16" s="7" t="s">
        <v>79</v>
      </c>
      <c r="E16" s="7" t="s">
        <v>27</v>
      </c>
      <c r="F16" s="9">
        <v>37</v>
      </c>
      <c r="G16" s="6">
        <v>2</v>
      </c>
      <c r="H16" s="6" t="s">
        <v>28</v>
      </c>
    </row>
    <row r="17" spans="1:8">
      <c r="A17" s="49"/>
      <c r="B17" s="10" t="s">
        <v>108</v>
      </c>
      <c r="C17" s="7" t="s">
        <v>109</v>
      </c>
      <c r="D17" s="7" t="s">
        <v>79</v>
      </c>
      <c r="E17" s="7" t="s">
        <v>27</v>
      </c>
      <c r="F17" s="9">
        <v>8</v>
      </c>
      <c r="G17" s="6">
        <v>1</v>
      </c>
      <c r="H17" s="6" t="s">
        <v>28</v>
      </c>
    </row>
    <row r="18" spans="1:8">
      <c r="A18" s="49"/>
      <c r="B18" s="10" t="s">
        <v>110</v>
      </c>
      <c r="C18" s="7" t="s">
        <v>111</v>
      </c>
      <c r="D18" s="7" t="s">
        <v>79</v>
      </c>
      <c r="E18" s="7" t="s">
        <v>27</v>
      </c>
      <c r="F18" s="9">
        <v>9</v>
      </c>
      <c r="G18" s="6">
        <v>1</v>
      </c>
      <c r="H18" s="6" t="s">
        <v>28</v>
      </c>
    </row>
    <row r="19" spans="1:8">
      <c r="A19" s="49"/>
      <c r="B19" s="10" t="s">
        <v>112</v>
      </c>
      <c r="C19" s="7" t="s">
        <v>113</v>
      </c>
      <c r="D19" s="7" t="s">
        <v>79</v>
      </c>
      <c r="E19" s="7" t="s">
        <v>23</v>
      </c>
      <c r="F19" s="6">
        <v>17</v>
      </c>
      <c r="G19" s="6">
        <v>0.5</v>
      </c>
      <c r="H19" s="6">
        <v>0</v>
      </c>
    </row>
    <row r="20" spans="1:8">
      <c r="A20" s="49"/>
      <c r="B20" s="10" t="s">
        <v>114</v>
      </c>
      <c r="C20" s="7" t="s">
        <v>115</v>
      </c>
      <c r="D20" s="7" t="s">
        <v>79</v>
      </c>
      <c r="E20" s="7" t="s">
        <v>23</v>
      </c>
      <c r="F20" s="6">
        <v>12</v>
      </c>
      <c r="G20" s="6">
        <v>0.5</v>
      </c>
      <c r="H20" s="6">
        <v>0</v>
      </c>
    </row>
    <row r="21" spans="1:8">
      <c r="A21" s="49"/>
      <c r="B21" s="10" t="s">
        <v>116</v>
      </c>
      <c r="C21" s="7" t="s">
        <v>117</v>
      </c>
      <c r="D21" s="7" t="s">
        <v>79</v>
      </c>
      <c r="E21" s="7" t="s">
        <v>27</v>
      </c>
      <c r="F21" s="9">
        <v>6</v>
      </c>
      <c r="G21" s="6">
        <v>1</v>
      </c>
      <c r="H21" s="6" t="s">
        <v>28</v>
      </c>
    </row>
    <row r="22" spans="1:8">
      <c r="A22" s="49"/>
      <c r="B22" s="10" t="s">
        <v>118</v>
      </c>
      <c r="C22" s="7" t="s">
        <v>119</v>
      </c>
      <c r="D22" s="7" t="s">
        <v>79</v>
      </c>
      <c r="E22" s="7" t="s">
        <v>23</v>
      </c>
      <c r="F22" s="6">
        <v>7</v>
      </c>
      <c r="G22" s="50">
        <v>0.5</v>
      </c>
      <c r="H22" s="6">
        <v>0</v>
      </c>
    </row>
    <row r="23" spans="1:8" ht="14.45" customHeight="1">
      <c r="A23" s="49"/>
      <c r="B23" s="10" t="s">
        <v>120</v>
      </c>
      <c r="C23" s="7" t="s">
        <v>121</v>
      </c>
      <c r="D23" s="7" t="s">
        <v>79</v>
      </c>
      <c r="E23" s="7" t="s">
        <v>27</v>
      </c>
      <c r="F23" s="9">
        <v>14</v>
      </c>
      <c r="G23" s="52"/>
      <c r="H23" s="6" t="s">
        <v>28</v>
      </c>
    </row>
    <row r="24" spans="1:8">
      <c r="A24" s="49"/>
      <c r="B24" s="10" t="s">
        <v>122</v>
      </c>
      <c r="C24" s="7" t="s">
        <v>123</v>
      </c>
      <c r="D24" s="7" t="s">
        <v>79</v>
      </c>
      <c r="E24" s="7" t="s">
        <v>23</v>
      </c>
      <c r="F24" s="6">
        <v>1</v>
      </c>
      <c r="G24" s="51"/>
      <c r="H24" s="6">
        <v>0</v>
      </c>
    </row>
    <row r="25" spans="1:8">
      <c r="A25" s="49"/>
      <c r="B25" s="10" t="s">
        <v>124</v>
      </c>
      <c r="C25" s="7" t="s">
        <v>125</v>
      </c>
      <c r="D25" s="7" t="s">
        <v>79</v>
      </c>
      <c r="E25" s="7" t="s">
        <v>23</v>
      </c>
      <c r="F25" s="6">
        <v>9</v>
      </c>
      <c r="G25" s="6">
        <v>0.5</v>
      </c>
      <c r="H25" s="6">
        <v>0</v>
      </c>
    </row>
    <row r="26" spans="1:8" ht="29.1">
      <c r="A26" s="49"/>
      <c r="B26" s="10" t="s">
        <v>126</v>
      </c>
      <c r="C26" s="7" t="s">
        <v>127</v>
      </c>
      <c r="D26" s="7" t="s">
        <v>79</v>
      </c>
      <c r="E26" s="7" t="s">
        <v>23</v>
      </c>
      <c r="F26" s="6">
        <v>10</v>
      </c>
      <c r="G26" s="6">
        <v>0.5</v>
      </c>
      <c r="H26" s="6">
        <v>0</v>
      </c>
    </row>
    <row r="27" spans="1:8" ht="29.1">
      <c r="A27" s="49"/>
      <c r="B27" s="10" t="s">
        <v>128</v>
      </c>
      <c r="C27" s="7" t="s">
        <v>129</v>
      </c>
      <c r="D27" s="7" t="s">
        <v>79</v>
      </c>
      <c r="E27" s="7" t="s">
        <v>27</v>
      </c>
      <c r="F27" s="9">
        <v>12</v>
      </c>
      <c r="G27" s="6">
        <v>1.5</v>
      </c>
      <c r="H27" s="6" t="s">
        <v>28</v>
      </c>
    </row>
    <row r="28" spans="1:8" ht="29.1">
      <c r="A28" s="49"/>
      <c r="B28" s="10" t="s">
        <v>130</v>
      </c>
      <c r="C28" s="7" t="s">
        <v>131</v>
      </c>
      <c r="D28" s="7" t="s">
        <v>79</v>
      </c>
      <c r="E28" s="7" t="s">
        <v>27</v>
      </c>
      <c r="F28" s="9">
        <v>22</v>
      </c>
      <c r="G28" s="6">
        <v>1</v>
      </c>
      <c r="H28" s="6" t="s">
        <v>28</v>
      </c>
    </row>
    <row r="29" spans="1:8">
      <c r="A29" s="49"/>
      <c r="B29" s="10" t="s">
        <v>132</v>
      </c>
      <c r="C29" s="7" t="s">
        <v>133</v>
      </c>
      <c r="D29" s="7" t="s">
        <v>79</v>
      </c>
      <c r="E29" s="7" t="s">
        <v>27</v>
      </c>
      <c r="F29" s="9">
        <v>12</v>
      </c>
      <c r="G29" s="6">
        <v>1</v>
      </c>
      <c r="H29" s="6" t="s">
        <v>28</v>
      </c>
    </row>
    <row r="30" spans="1:8">
      <c r="A30" s="49"/>
      <c r="B30" s="10" t="s">
        <v>134</v>
      </c>
      <c r="C30" s="7" t="s">
        <v>135</v>
      </c>
      <c r="D30" s="7" t="s">
        <v>79</v>
      </c>
      <c r="E30" s="7" t="s">
        <v>27</v>
      </c>
      <c r="F30" s="9">
        <v>31</v>
      </c>
      <c r="G30" s="6">
        <v>2</v>
      </c>
      <c r="H30" s="6" t="s">
        <v>28</v>
      </c>
    </row>
    <row r="31" spans="1:8">
      <c r="A31" s="49"/>
      <c r="B31" s="10" t="s">
        <v>136</v>
      </c>
      <c r="C31" s="7" t="s">
        <v>137</v>
      </c>
      <c r="D31" s="7" t="s">
        <v>79</v>
      </c>
      <c r="E31" s="7" t="s">
        <v>23</v>
      </c>
      <c r="F31" s="6">
        <v>27</v>
      </c>
      <c r="G31" s="6">
        <v>0.5</v>
      </c>
      <c r="H31" s="6">
        <v>0</v>
      </c>
    </row>
    <row r="32" spans="1:8">
      <c r="A32" s="49"/>
      <c r="B32" s="10" t="s">
        <v>138</v>
      </c>
      <c r="C32" s="7" t="s">
        <v>139</v>
      </c>
      <c r="D32" s="7" t="s">
        <v>79</v>
      </c>
      <c r="E32" s="7" t="s">
        <v>23</v>
      </c>
      <c r="F32" s="6">
        <v>10</v>
      </c>
      <c r="G32" s="6">
        <v>0.5</v>
      </c>
      <c r="H32" s="6">
        <v>0</v>
      </c>
    </row>
    <row r="33" spans="1:8">
      <c r="A33" s="7" t="s">
        <v>140</v>
      </c>
      <c r="B33" s="10" t="s">
        <v>71</v>
      </c>
      <c r="C33" s="7" t="s">
        <v>72</v>
      </c>
      <c r="D33" s="7" t="s">
        <v>34</v>
      </c>
      <c r="E33" s="7" t="s">
        <v>27</v>
      </c>
      <c r="F33" s="9">
        <v>130</v>
      </c>
      <c r="G33" s="6">
        <v>2</v>
      </c>
      <c r="H33" s="6" t="s">
        <v>28</v>
      </c>
    </row>
    <row r="34" spans="1:8" ht="43.5">
      <c r="A34" s="10" t="s">
        <v>141</v>
      </c>
      <c r="B34" s="10" t="s">
        <v>142</v>
      </c>
      <c r="C34" s="7"/>
      <c r="D34" s="7" t="s">
        <v>34</v>
      </c>
      <c r="E34" s="7" t="s">
        <v>27</v>
      </c>
      <c r="F34" s="6">
        <v>20</v>
      </c>
      <c r="G34" s="6">
        <v>2</v>
      </c>
      <c r="H34" s="6" t="s">
        <v>28</v>
      </c>
    </row>
    <row r="37" spans="1:8">
      <c r="F37" s="21">
        <f>SUM(F2:F34)</f>
        <v>585</v>
      </c>
      <c r="G37" s="21">
        <f t="shared" ref="G37:H37" si="0">SUM(G2:G34)</f>
        <v>24.15</v>
      </c>
      <c r="H37" s="21">
        <f t="shared" si="0"/>
        <v>0</v>
      </c>
    </row>
  </sheetData>
  <autoFilter ref="A1:H34" xr:uid="{F34D88E7-9272-445F-B0CB-34E3FFEADA6B}"/>
  <mergeCells count="4">
    <mergeCell ref="A2:A32"/>
    <mergeCell ref="G2:G3"/>
    <mergeCell ref="G5:G6"/>
    <mergeCell ref="G22:G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C934E-AC49-4A2A-82F7-836E8ACDC25A}">
  <dimension ref="A1:B20"/>
  <sheetViews>
    <sheetView zoomScale="90" zoomScaleNormal="90" workbookViewId="0">
      <selection activeCell="B11" sqref="B11"/>
    </sheetView>
  </sheetViews>
  <sheetFormatPr defaultRowHeight="14.45"/>
  <cols>
    <col min="1" max="1" width="16.42578125" customWidth="1"/>
    <col min="2" max="2" width="132" style="20" customWidth="1"/>
  </cols>
  <sheetData>
    <row r="1" spans="1:2">
      <c r="A1" s="18" t="s">
        <v>143</v>
      </c>
      <c r="B1" s="19" t="s">
        <v>144</v>
      </c>
    </row>
    <row r="2" spans="1:2">
      <c r="A2" s="7" t="s">
        <v>145</v>
      </c>
      <c r="B2" s="10" t="s">
        <v>146</v>
      </c>
    </row>
    <row r="3" spans="1:2">
      <c r="A3" s="7" t="s">
        <v>147</v>
      </c>
      <c r="B3" s="10" t="s">
        <v>148</v>
      </c>
    </row>
    <row r="4" spans="1:2">
      <c r="A4" s="7" t="s">
        <v>149</v>
      </c>
      <c r="B4" s="10" t="s">
        <v>150</v>
      </c>
    </row>
    <row r="5" spans="1:2">
      <c r="A5" s="7" t="s">
        <v>151</v>
      </c>
      <c r="B5" s="10" t="s">
        <v>152</v>
      </c>
    </row>
    <row r="6" spans="1:2">
      <c r="A6" s="7" t="s">
        <v>153</v>
      </c>
      <c r="B6" s="10" t="s">
        <v>154</v>
      </c>
    </row>
    <row r="7" spans="1:2">
      <c r="A7" s="7" t="s">
        <v>155</v>
      </c>
      <c r="B7" s="10" t="s">
        <v>156</v>
      </c>
    </row>
    <row r="8" spans="1:2" ht="29.1">
      <c r="A8" s="7" t="s">
        <v>157</v>
      </c>
      <c r="B8" s="10" t="s">
        <v>158</v>
      </c>
    </row>
    <row r="9" spans="1:2">
      <c r="A9" s="7" t="s">
        <v>159</v>
      </c>
      <c r="B9" s="10" t="s">
        <v>160</v>
      </c>
    </row>
    <row r="10" spans="1:2">
      <c r="A10" s="7" t="s">
        <v>161</v>
      </c>
      <c r="B10" s="10" t="s">
        <v>162</v>
      </c>
    </row>
    <row r="11" spans="1:2">
      <c r="A11" s="7" t="s">
        <v>163</v>
      </c>
      <c r="B11" s="10" t="s">
        <v>164</v>
      </c>
    </row>
    <row r="12" spans="1:2">
      <c r="A12" s="7" t="s">
        <v>165</v>
      </c>
      <c r="B12" s="10" t="s">
        <v>166</v>
      </c>
    </row>
    <row r="13" spans="1:2">
      <c r="A13" s="7" t="s">
        <v>167</v>
      </c>
      <c r="B13" s="10" t="s">
        <v>168</v>
      </c>
    </row>
    <row r="14" spans="1:2">
      <c r="A14" s="7" t="s">
        <v>169</v>
      </c>
      <c r="B14" s="10" t="s">
        <v>170</v>
      </c>
    </row>
    <row r="15" spans="1:2">
      <c r="A15" s="7" t="s">
        <v>171</v>
      </c>
      <c r="B15" s="10" t="s">
        <v>172</v>
      </c>
    </row>
    <row r="16" spans="1:2">
      <c r="A16" s="7" t="s">
        <v>173</v>
      </c>
      <c r="B16" s="10" t="s">
        <v>174</v>
      </c>
    </row>
    <row r="17" spans="1:2">
      <c r="A17" s="7" t="s">
        <v>175</v>
      </c>
      <c r="B17" s="10" t="s">
        <v>176</v>
      </c>
    </row>
    <row r="18" spans="1:2">
      <c r="A18" s="7" t="s">
        <v>177</v>
      </c>
      <c r="B18" s="10" t="s">
        <v>178</v>
      </c>
    </row>
    <row r="19" spans="1:2" ht="29.1">
      <c r="A19" s="7" t="s">
        <v>179</v>
      </c>
      <c r="B19" s="10" t="s">
        <v>180</v>
      </c>
    </row>
    <row r="20" spans="1:2">
      <c r="A20" s="7" t="s">
        <v>181</v>
      </c>
      <c r="B20" s="10" t="s">
        <v>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2E5B3-0A55-447E-B91D-CE4B24794112}">
  <dimension ref="A1:B4"/>
  <sheetViews>
    <sheetView workbookViewId="0">
      <selection activeCell="B3" sqref="B3"/>
    </sheetView>
  </sheetViews>
  <sheetFormatPr defaultRowHeight="14.45"/>
  <cols>
    <col min="1" max="1" width="55.7109375" customWidth="1"/>
  </cols>
  <sheetData>
    <row r="1" spans="1:2">
      <c r="A1" s="7"/>
      <c r="B1" s="9" t="s">
        <v>183</v>
      </c>
    </row>
    <row r="2" spans="1:2">
      <c r="A2" s="7" t="s">
        <v>184</v>
      </c>
      <c r="B2" s="17">
        <v>99</v>
      </c>
    </row>
    <row r="3" spans="1:2" ht="29.1">
      <c r="A3" s="10" t="s">
        <v>185</v>
      </c>
      <c r="B3" s="17">
        <v>71</v>
      </c>
    </row>
    <row r="4" spans="1:2">
      <c r="A4" s="7" t="s">
        <v>186</v>
      </c>
      <c r="B4" s="17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F3A3C-7ED9-4357-B3F3-A4D11103543A}">
  <dimension ref="A1:G39"/>
  <sheetViews>
    <sheetView topLeftCell="A3" workbookViewId="0">
      <selection activeCell="E20" sqref="E20"/>
    </sheetView>
  </sheetViews>
  <sheetFormatPr defaultRowHeight="14.45"/>
  <cols>
    <col min="1" max="1" width="46.5703125" customWidth="1"/>
    <col min="2" max="2" width="26.5703125" customWidth="1"/>
    <col min="3" max="3" width="14.85546875" customWidth="1"/>
    <col min="4" max="4" width="12.7109375" customWidth="1"/>
    <col min="6" max="6" width="30.7109375" customWidth="1"/>
  </cols>
  <sheetData>
    <row r="1" spans="1:7">
      <c r="A1" s="1" t="s">
        <v>12</v>
      </c>
      <c r="B1" s="1" t="s">
        <v>187</v>
      </c>
      <c r="C1" s="1" t="s">
        <v>188</v>
      </c>
    </row>
    <row r="2" spans="1:7">
      <c r="A2" s="54" t="s">
        <v>19</v>
      </c>
      <c r="B2" s="7" t="s">
        <v>189</v>
      </c>
      <c r="C2" s="55">
        <v>28</v>
      </c>
    </row>
    <row r="3" spans="1:7" ht="15" thickBot="1">
      <c r="A3" s="54"/>
      <c r="B3" s="7" t="s">
        <v>190</v>
      </c>
      <c r="C3" s="55"/>
    </row>
    <row r="4" spans="1:7">
      <c r="A4" s="54"/>
      <c r="B4" s="7" t="s">
        <v>191</v>
      </c>
      <c r="C4" s="55"/>
      <c r="F4" s="26" t="s">
        <v>192</v>
      </c>
      <c r="G4" s="41">
        <v>35</v>
      </c>
    </row>
    <row r="5" spans="1:7">
      <c r="A5" s="54"/>
      <c r="B5" s="7" t="s">
        <v>193</v>
      </c>
      <c r="C5" s="55"/>
      <c r="F5" s="42" t="s">
        <v>194</v>
      </c>
      <c r="G5" s="43">
        <v>4</v>
      </c>
    </row>
    <row r="6" spans="1:7" ht="15" thickBot="1">
      <c r="A6" s="54"/>
      <c r="B6" s="7" t="s">
        <v>195</v>
      </c>
      <c r="C6" s="55"/>
      <c r="F6" s="29" t="s">
        <v>196</v>
      </c>
      <c r="G6" s="44">
        <v>31</v>
      </c>
    </row>
    <row r="7" spans="1:7">
      <c r="A7" s="54"/>
      <c r="B7" s="7" t="s">
        <v>197</v>
      </c>
      <c r="C7" s="55"/>
    </row>
    <row r="8" spans="1:7">
      <c r="A8" s="54"/>
      <c r="B8" s="7" t="s">
        <v>198</v>
      </c>
      <c r="C8" s="55"/>
    </row>
    <row r="9" spans="1:7">
      <c r="A9" s="54"/>
      <c r="B9" s="7" t="s">
        <v>199</v>
      </c>
      <c r="C9" s="55"/>
    </row>
    <row r="10" spans="1:7">
      <c r="A10" s="54"/>
      <c r="B10" s="7" t="s">
        <v>200</v>
      </c>
      <c r="C10" s="55"/>
    </row>
    <row r="11" spans="1:7">
      <c r="A11" s="54"/>
      <c r="B11" s="7" t="s">
        <v>201</v>
      </c>
      <c r="C11" s="55"/>
    </row>
    <row r="12" spans="1:7">
      <c r="A12" s="54"/>
      <c r="B12" s="7" t="s">
        <v>202</v>
      </c>
      <c r="C12" s="55"/>
    </row>
    <row r="13" spans="1:7">
      <c r="A13" s="54"/>
      <c r="B13" s="7" t="s">
        <v>203</v>
      </c>
      <c r="C13" s="55"/>
    </row>
    <row r="14" spans="1:7">
      <c r="A14" s="54"/>
      <c r="B14" s="7" t="s">
        <v>204</v>
      </c>
      <c r="C14" s="55"/>
    </row>
    <row r="15" spans="1:7">
      <c r="A15" s="54"/>
      <c r="B15" s="7" t="s">
        <v>205</v>
      </c>
      <c r="C15" s="55"/>
    </row>
    <row r="16" spans="1:7">
      <c r="A16" s="54"/>
      <c r="B16" s="7" t="s">
        <v>206</v>
      </c>
      <c r="C16" s="55"/>
    </row>
    <row r="17" spans="1:4">
      <c r="A17" s="54"/>
      <c r="B17" s="7" t="s">
        <v>207</v>
      </c>
      <c r="C17" s="55"/>
    </row>
    <row r="18" spans="1:4">
      <c r="A18" s="54"/>
      <c r="B18" s="7" t="s">
        <v>208</v>
      </c>
      <c r="C18" s="55"/>
    </row>
    <row r="19" spans="1:4">
      <c r="A19" s="54"/>
      <c r="B19" s="7" t="s">
        <v>209</v>
      </c>
      <c r="C19" s="55"/>
    </row>
    <row r="20" spans="1:4">
      <c r="A20" s="54"/>
      <c r="B20" s="7" t="s">
        <v>210</v>
      </c>
      <c r="C20" s="55"/>
    </row>
    <row r="21" spans="1:4">
      <c r="A21" s="54"/>
      <c r="B21" s="7" t="s">
        <v>211</v>
      </c>
      <c r="C21" s="55"/>
    </row>
    <row r="22" spans="1:4">
      <c r="A22" s="54"/>
      <c r="B22" s="7" t="s">
        <v>212</v>
      </c>
      <c r="C22" s="55"/>
    </row>
    <row r="23" spans="1:4">
      <c r="A23" s="54"/>
      <c r="B23" s="7" t="s">
        <v>213</v>
      </c>
      <c r="C23" s="55"/>
    </row>
    <row r="24" spans="1:4">
      <c r="A24" s="54"/>
      <c r="B24" s="7" t="s">
        <v>214</v>
      </c>
      <c r="C24" s="55"/>
    </row>
    <row r="25" spans="1:4">
      <c r="A25" s="54"/>
      <c r="B25" s="7" t="s">
        <v>215</v>
      </c>
      <c r="C25" s="55"/>
    </row>
    <row r="26" spans="1:4">
      <c r="A26" s="54"/>
      <c r="B26" s="7" t="s">
        <v>216</v>
      </c>
      <c r="C26" s="55"/>
    </row>
    <row r="27" spans="1:4">
      <c r="A27" s="54"/>
      <c r="B27" s="7" t="s">
        <v>217</v>
      </c>
      <c r="C27" s="55"/>
    </row>
    <row r="28" spans="1:4">
      <c r="A28" s="54"/>
      <c r="B28" s="7" t="s">
        <v>191</v>
      </c>
      <c r="C28" s="55"/>
    </row>
    <row r="29" spans="1:4">
      <c r="A29" s="54"/>
      <c r="B29" s="7" t="s">
        <v>218</v>
      </c>
      <c r="C29" s="55"/>
    </row>
    <row r="30" spans="1:4">
      <c r="A30" s="47" t="s">
        <v>31</v>
      </c>
      <c r="B30" s="7" t="s">
        <v>219</v>
      </c>
      <c r="C30" s="56">
        <v>3</v>
      </c>
      <c r="D30" s="7" t="s">
        <v>220</v>
      </c>
    </row>
    <row r="31" spans="1:4">
      <c r="A31" s="47"/>
      <c r="B31" s="7" t="s">
        <v>221</v>
      </c>
      <c r="C31" s="56"/>
      <c r="D31" s="7" t="s">
        <v>220</v>
      </c>
    </row>
    <row r="32" spans="1:4">
      <c r="A32" s="47"/>
      <c r="B32" s="7" t="s">
        <v>222</v>
      </c>
      <c r="C32" s="56"/>
      <c r="D32" s="7" t="s">
        <v>223</v>
      </c>
    </row>
    <row r="33" spans="1:4">
      <c r="A33" s="47" t="s">
        <v>70</v>
      </c>
      <c r="B33" s="7" t="s">
        <v>224</v>
      </c>
      <c r="C33" s="56">
        <v>2</v>
      </c>
      <c r="D33" s="7" t="s">
        <v>220</v>
      </c>
    </row>
    <row r="34" spans="1:4">
      <c r="A34" s="47"/>
      <c r="B34" s="7" t="s">
        <v>225</v>
      </c>
      <c r="C34" s="56"/>
      <c r="D34" s="7" t="s">
        <v>223</v>
      </c>
    </row>
    <row r="35" spans="1:4">
      <c r="A35" s="46" t="s">
        <v>73</v>
      </c>
      <c r="B35" s="7" t="s">
        <v>226</v>
      </c>
      <c r="C35" s="53">
        <v>2</v>
      </c>
      <c r="D35" s="7" t="s">
        <v>223</v>
      </c>
    </row>
    <row r="36" spans="1:4">
      <c r="A36" s="46"/>
      <c r="B36" s="7" t="s">
        <v>227</v>
      </c>
      <c r="C36" s="53"/>
      <c r="D36" s="7" t="s">
        <v>223</v>
      </c>
    </row>
    <row r="38" spans="1:4" ht="15" thickBot="1"/>
    <row r="39" spans="1:4" ht="15" thickBot="1">
      <c r="C39" s="45">
        <f>SUM(C2:C36)</f>
        <v>35</v>
      </c>
    </row>
  </sheetData>
  <mergeCells count="8">
    <mergeCell ref="A35:A36"/>
    <mergeCell ref="C35:C36"/>
    <mergeCell ref="A2:A29"/>
    <mergeCell ref="C2:C29"/>
    <mergeCell ref="A30:A32"/>
    <mergeCell ref="C30:C32"/>
    <mergeCell ref="A33:A34"/>
    <mergeCell ref="C33:C3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495FEC1CD6F941B8BE3B537DCFC6FF" ma:contentTypeVersion="10" ma:contentTypeDescription="Create a new document." ma:contentTypeScope="" ma:versionID="805d48f03e7bb9e76b8d1388c8b0147f">
  <xsd:schema xmlns:xsd="http://www.w3.org/2001/XMLSchema" xmlns:xs="http://www.w3.org/2001/XMLSchema" xmlns:p="http://schemas.microsoft.com/office/2006/metadata/properties" xmlns:ns2="e2f04ce6-5625-4773-b511-ff6e32fd78d6" xmlns:ns3="886d0db5-4d18-497d-97ce-51cb0d7fa060" targetNamespace="http://schemas.microsoft.com/office/2006/metadata/properties" ma:root="true" ma:fieldsID="9b0fc5e66fd61b7e8c1014ca482dcaef" ns2:_="" ns3:_="">
    <xsd:import namespace="e2f04ce6-5625-4773-b511-ff6e32fd78d6"/>
    <xsd:import namespace="886d0db5-4d18-497d-97ce-51cb0d7fa0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f04ce6-5625-4773-b511-ff6e32fd78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6d0db5-4d18-497d-97ce-51cb0d7fa06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A5032B-8EF9-4CA6-B028-58F973DF54F6}"/>
</file>

<file path=customXml/itemProps2.xml><?xml version="1.0" encoding="utf-8"?>
<ds:datastoreItem xmlns:ds="http://schemas.openxmlformats.org/officeDocument/2006/customXml" ds:itemID="{FACD4D73-164F-4674-8BCB-C3DCEB5F82A9}"/>
</file>

<file path=customXml/itemProps3.xml><?xml version="1.0" encoding="utf-8"?>
<ds:datastoreItem xmlns:ds="http://schemas.openxmlformats.org/officeDocument/2006/customXml" ds:itemID="{B207A383-9FC2-420F-A5D9-0C63B3CBE67D}"/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Illinda, Sridhar</dc:creator>
  <cp:keywords/>
  <dc:description/>
  <cp:lastModifiedBy>Chulaki, Susmita</cp:lastModifiedBy>
  <cp:revision/>
  <dcterms:created xsi:type="dcterms:W3CDTF">2026-07-06T09:03:56Z</dcterms:created>
  <dcterms:modified xsi:type="dcterms:W3CDTF">2026-07-20T05:12:46Z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0x01010021495FEC1CD6F941B8BE3B537DCFC6FF</vt:lpwstr>
  </property>
</Properties>
</file>