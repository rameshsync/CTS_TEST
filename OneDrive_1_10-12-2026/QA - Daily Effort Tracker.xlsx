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capgemini.sharepoint.com/sites/BeazleyJumpstart/Shared Documents/General/Testing/"/>
    </mc:Choice>
  </mc:AlternateContent>
  <xr:revisionPtr revIDLastSave="10877" documentId="8_{74BF53A0-3EA9-4B1A-A454-D965DAABE74D}" xr6:coauthVersionLast="47" xr6:coauthVersionMax="47" xr10:uidLastSave="{845DCBD5-6899-429A-98E7-849B6643184D}"/>
  <bookViews>
    <workbookView xWindow="-110" yWindow="-110" windowWidth="19420" windowHeight="11500" tabRatio="700" firstSheet="3" activeTab="7" xr2:uid="{E3304BE3-F8B9-4CEB-B331-9975443A9DC8}"/>
  </bookViews>
  <sheets>
    <sheet name="Ninad" sheetId="1" r:id="rId1"/>
    <sheet name="Vijay" sheetId="2" r:id="rId2"/>
    <sheet name="Inthiyaz" sheetId="3" r:id="rId3"/>
    <sheet name="Amin" sheetId="4" r:id="rId4"/>
    <sheet name="Sridhar" sheetId="5" r:id="rId5"/>
    <sheet name="Deepika" sheetId="6" r:id="rId6"/>
    <sheet name="Divya" sheetId="7" r:id="rId7"/>
    <sheet name="Manoj" sheetId="8" r:id="rId8"/>
    <sheet name="Tharun" sheetId="9" r:id="rId9"/>
    <sheet name="Anshu" sheetId="10" r:id="rId10"/>
    <sheet name="Komala" sheetId="11" r:id="rId11"/>
    <sheet name="Pavan" sheetId="12" r:id="rId12"/>
    <sheet name="Sandeep" sheetId="13" r:id="rId13"/>
    <sheet name="Indu" sheetId="14" r:id="rId14"/>
    <sheet name="Priyanka" sheetId="16" r:id="rId15"/>
    <sheet name="Shanmuki" sheetId="15" r:id="rId16"/>
    <sheet name="Susmita" sheetId="17" r:id="rId17"/>
    <sheet name="Ramakanth" sheetId="19" r:id="rId18"/>
    <sheet name="Wais" sheetId="18" r:id="rId19"/>
    <sheet name="Midhun" sheetId="20" r:id="rId20"/>
    <sheet name="Anshika" sheetId="21" r:id="rId21"/>
  </sheets>
  <definedNames>
    <definedName name="_xlnm._FilterDatabase" localSheetId="12" hidden="1">Sandeep!$A$7:$E$18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143" i="11" l="1"/>
  <c r="D137" i="11"/>
  <c r="D234" i="13"/>
  <c r="D221" i="13"/>
  <c r="D128" i="11"/>
  <c r="D212" i="13"/>
  <c r="D205" i="13"/>
  <c r="D117" i="11" l="1"/>
  <c r="D196" i="13"/>
  <c r="D112" i="11"/>
  <c r="D105" i="11"/>
  <c r="D99" i="11"/>
  <c r="D188" i="13"/>
  <c r="D179" i="13" l="1"/>
  <c r="D169" i="13"/>
  <c r="D160" i="13"/>
  <c r="D152" i="13"/>
  <c r="D143" i="13"/>
  <c r="D125" i="13"/>
  <c r="D115" i="13"/>
  <c r="D77" i="11"/>
  <c r="D73" i="11"/>
  <c r="D108" i="13"/>
  <c r="D67" i="11"/>
  <c r="D99" i="13"/>
  <c r="D61" i="11"/>
  <c r="D92" i="13"/>
  <c r="D55" i="11"/>
  <c r="D81" i="13"/>
  <c r="D49" i="11"/>
  <c r="D70" i="13"/>
  <c r="D3" i="13"/>
  <c r="D43" i="11"/>
  <c r="D61" i="13"/>
  <c r="D51" i="13"/>
  <c r="D20" i="13"/>
  <c r="D8" i="13"/>
  <c r="D43" i="13"/>
  <c r="D30" i="13"/>
  <c r="D36" i="11"/>
  <c r="D26" i="11"/>
  <c r="D18"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tc={DD8375D3-9816-4362-B472-0F3AE840F951}</author>
    <author>tc={E57DDEAB-88D7-47F9-A5D0-6D606F14C496}</author>
    <author>tc={6EF75385-08C5-4F71-B5D4-13C889027316}</author>
    <author>GAIKWAD, SANDEEP</author>
    <author>tc={9A31987E-5BE6-455F-B7C2-79FFDAD1E134}</author>
  </authors>
  <commentList>
    <comment ref="E85" authorId="0" shapeId="0" xr:uid="{DD8375D3-9816-4362-B472-0F3AE840F951}">
      <text>
        <t>[Threaded comment]
Your version of Excel allows you to read this threaded comment; however, any edits to it will get removed if the file is opened in a newer version of Excel. Learn more: https://go.microsoft.com/fwlink/?linkid=870924
Comment:
    https://beazley.atlassian.net/browse/GPS-27008
SIT1 - RETEST - Business Policy # GZ0CHW2601BB - Follower
SIT1 - RETEST - Business Policy # GZ0CHX2601BB - Lead
SIT1 - RETEST - Business Policy # GZ0CI32601BB
TEST - RETEST - Business Policy # GZ01AO2601BB - Follower/Leader
TEST - RETEST - Business Policy # GZ01AV2601BB</t>
      </text>
    </comment>
    <comment ref="E86" authorId="1" shapeId="0" xr:uid="{E57DDEAB-88D7-47F9-A5D0-6D606F14C496}">
      <text>
        <t>[Threaded comment]
Your version of Excel allows you to read this threaded comment; however, any edits to it will get removed if the file is opened in a newer version of Excel. Learn more: https://go.microsoft.com/fwlink/?linkid=870924
Comment:
    https://beazley.atlassian.net/browse/GPS-27381
TEST
Business Policy #
GZ01A82601BB
Account#
8832652277</t>
      </text>
    </comment>
    <comment ref="E97" authorId="2" shapeId="0" xr:uid="{6EF75385-08C5-4F71-B5D4-13C889027316}">
      <text>
        <t>[Threaded comment]
Your version of Excel allows you to read this threaded comment; however, any edits to it will get removed if the file is opened in a newer version of Excel. Learn more: https://go.microsoft.com/fwlink/?linkid=870924
Comment:
    Hi Rupesh - The test data has been created as per your request. Please let me know if you need anything else.
1 coinsurance - flat - Not paid - Business Policy # GZ0CQU2601BB
1 Non coinsurance - flat - Not paid - Business Policy # YZ0CMF2601BB
1 Future effect date - non coinsurance - Business Policy # GZ0CQW2601BB
1 contra/replace - non coinsurance - Business Policy # GZ0CQV2601BB
1 contra/replace - coinsurance - Business Policy # YZ0CM62601DF</t>
      </text>
    </comment>
    <comment ref="E101" authorId="3" shapeId="0" xr:uid="{4DD9F515-7795-4825-B3D8-5F7463FD8021}">
      <text>
        <r>
          <rPr>
            <sz val="9"/>
            <color indexed="81"/>
            <rFont val="Tahoma"/>
            <family val="2"/>
          </rPr>
          <t>RETEST - SIT1 - Business Policy # YZ0BCS2601PT
RETEST - TEST - Business Policy # GZ01DU2601BB</t>
        </r>
      </text>
    </comment>
    <comment ref="E103" authorId="4" shapeId="0" xr:uid="{9A31987E-5BE6-455F-B7C2-79FFDAD1E134}">
      <text>
        <t>[Threaded comment]
Your version of Excel allows you to read this threaded comment; however, any edits to it will get removed if the file is opened in a newer version of Excel. Learn more: https://go.microsoft.com/fwlink/?linkid=870924
Comment:
    YZ0CM62601DF
YZ0CMC2601DF
YZ0CMG2601DF
YZ0CMI2601PM
YZ0CM72601BB
YZ0CM92601BB
YZ0CMA2601BB
GZ0CMH2601BR</t>
      </text>
    </comment>
    <comment ref="E105" authorId="3" shapeId="0" xr:uid="{923CE72A-69BE-4DA4-840C-63C4CD258418}">
      <text>
        <r>
          <rPr>
            <sz val="9"/>
            <color indexed="81"/>
            <rFont val="Tahoma"/>
            <family val="2"/>
          </rPr>
          <t>Reproduced Policy: GZ0CS52601BB</t>
        </r>
      </text>
    </comment>
    <comment ref="E106" authorId="3" shapeId="0" xr:uid="{25E71347-F90B-4CD9-9135-96E54A098D64}">
      <text>
        <r>
          <rPr>
            <sz val="9"/>
            <color indexed="81"/>
            <rFont val="Tahoma"/>
            <family val="2"/>
          </rPr>
          <t>1. SIT1 - Business Policy # GZ0CS52601BB
2. SIT1 - Business Policy # GZ0CQU2601BB
3. TEST - Business Policy # GZ01EO2601BB</t>
        </r>
      </text>
    </comment>
    <comment ref="E198" authorId="3" shapeId="0" xr:uid="{7FC46055-FC75-4114-B96C-B981C3E2FEA2}">
      <text>
        <r>
          <rPr>
            <b/>
            <sz val="9"/>
            <color indexed="81"/>
            <rFont val="Tahoma"/>
            <family val="2"/>
          </rPr>
          <t>GPS-26142 - closed
GPS-27770 - closed
GPS-27669 - Re-opened
GPS-27513 - closed
GPS-27771 - Re-opened
GPS-27771 - closed</t>
        </r>
      </text>
    </comment>
  </commentList>
</comments>
</file>

<file path=xl/sharedStrings.xml><?xml version="1.0" encoding="utf-8"?>
<sst xmlns="http://schemas.openxmlformats.org/spreadsheetml/2006/main" count="3961" uniqueCount="1987">
  <si>
    <t>Date</t>
  </si>
  <si>
    <t>Tasks</t>
  </si>
  <si>
    <t>Effort spent 
(In Hrs)</t>
  </si>
  <si>
    <t xml:space="preserve">Total number of Hrs spent </t>
  </si>
  <si>
    <t>Comments</t>
  </si>
  <si>
    <t>Example is below</t>
  </si>
  <si>
    <t>R1.1.3 Regression  - Defects retesting</t>
  </si>
  <si>
    <t>UAT scenario execution</t>
  </si>
  <si>
    <t>Team meeting</t>
  </si>
  <si>
    <t xml:space="preserve">Start your entries from below. Start from 1st July. </t>
  </si>
  <si>
    <t>DSM</t>
  </si>
  <si>
    <t>E2E-Defect Traige</t>
  </si>
  <si>
    <t>GPS-27073 - Account vs Policy Linkage - Testing Observations - Session 2</t>
  </si>
  <si>
    <t>Portugese Stamp Duty Issue(PROD)</t>
  </si>
  <si>
    <t>Team query &amp; clarifications</t>
  </si>
  <si>
    <t>UW Rationale Solution and Query Discussion</t>
  </si>
  <si>
    <t xml:space="preserve">Agresso planning </t>
  </si>
  <si>
    <t xml:space="preserve">GPS-27628 - Review and clarification provided to MDA team
</t>
  </si>
  <si>
    <t xml:space="preserve"> Insight process demo to IPLM  discovery team</t>
  </si>
  <si>
    <t>Agresoo PROD defect validation &amp; data clarification to MDA &amp; Jorge</t>
  </si>
  <si>
    <t>Weekly Status update</t>
  </si>
  <si>
    <t>Invoice vlaidation - Copilot enhancement view</t>
  </si>
  <si>
    <t xml:space="preserve">GPAS - Controls reports call
1) UW rational report
2) UW Rate change report
3) BPI report
4) UW document type report
</t>
  </si>
  <si>
    <t>Team Meetings</t>
  </si>
  <si>
    <t>Review and Upload of regression scenarios to jira</t>
  </si>
  <si>
    <t>Creation of Test executions and Regression Dashboard in jira for Palisades Regression in GPASTEST environment</t>
  </si>
  <si>
    <t xml:space="preserve">Tracking of GPASTEST Palisades Regression Execution with Team </t>
  </si>
  <si>
    <t>Build activities (Coordinating with Dev for build deployments in Dev env and Automation team with smoke test status)</t>
  </si>
  <si>
    <t>Team doubts clarification</t>
  </si>
  <si>
    <t>Verification of Data flow from PC to BC for new and migrated submission</t>
  </si>
  <si>
    <t>Review and correction of Test executions and Regression Dashboard in jira for Palisades Regression in UAT environment</t>
  </si>
  <si>
    <t>Update of Palisades regression execution dashboard with Agresso and Invoice validation in GAPSTEST</t>
  </si>
  <si>
    <t xml:space="preserve">Tracking of UAT Palisades Regression Execution with Team </t>
  </si>
  <si>
    <t>Update of Palisades regression execution dashboard with Agresso and Invoice validation in UAT</t>
  </si>
  <si>
    <t>Tracking of Cyber Regression - Test factory model</t>
  </si>
  <si>
    <t>30min</t>
  </si>
  <si>
    <t>In call with Team for verifying  BPI/TPI issue</t>
  </si>
  <si>
    <t>Verification of Datadog logs for Migrated data</t>
  </si>
  <si>
    <t>Execution of Backdated data in GAPSTEST</t>
  </si>
  <si>
    <t>Creation of Test executions and Regression Dashboard in jira for Palisades Regression in UAT environment</t>
  </si>
  <si>
    <t>In call with Team for verifying  Penny issue</t>
  </si>
  <si>
    <t xml:space="preserve">Automation of GW vs Snowflake Data Reconcilation </t>
  </si>
  <si>
    <t>Team Meeting</t>
  </si>
  <si>
    <t>Python script for reading GW data received form specified path and connecting to Snowflake</t>
  </si>
  <si>
    <t xml:space="preserve">Getting error while connecting to Snowflake </t>
  </si>
  <si>
    <t>UW file Documentation and Rationale related issue discussion with automation team</t>
  </si>
  <si>
    <t>UW Rationale call with BA</t>
  </si>
  <si>
    <t>Fixing Palisades Regression execution dashboard</t>
  </si>
  <si>
    <t>Snowflake Query to validate GW field values sheet shared by automation team (Completed 15 Fields)</t>
  </si>
  <si>
    <t>As we do not have data mapping identifing each column mapping is taking time</t>
  </si>
  <si>
    <t>In call with team for Cyber Chcecklist update</t>
  </si>
  <si>
    <t xml:space="preserve">Finidng list of all Cyber defects and updating correct label </t>
  </si>
  <si>
    <t>Checking with team and clarifying doubts on Backdated data creation in SIT2</t>
  </si>
  <si>
    <t>Connected with DEV team to find out GW table names from code</t>
  </si>
  <si>
    <t>Connecting to snowflake with Python, shared the script with Amin and validated but still its failing</t>
  </si>
  <si>
    <t>Snowflake Query to validate GW field values sheet shared by automation team (Completed 5 more Fields)</t>
  </si>
  <si>
    <t>Health check dashboard setup in GPASTEST and demo from Amin</t>
  </si>
  <si>
    <t>Updating of  R1.2 User stories QA tracker</t>
  </si>
  <si>
    <t>Getting the R1.2 overall defect list and updating labels/identifying regression defects</t>
  </si>
  <si>
    <t xml:space="preserve">Meeting with Dev team and verifictaion of Data Model Changes for R1.2 Defects </t>
  </si>
  <si>
    <t>Connected with Automation team to raise repo access and get that cloned in git</t>
  </si>
  <si>
    <t>Verifying R1.2 RFT defects and tracking with team for retest and jira update</t>
  </si>
  <si>
    <t>Identifying Snowflake fields from MDA Mapping</t>
  </si>
  <si>
    <t>Verifying Snowflake authentication with SnowSql and PowerBI</t>
  </si>
  <si>
    <t>Deploying latest build in SIT1 and tracking the smoke test</t>
  </si>
  <si>
    <t xml:space="preserve">Setting up Playwright </t>
  </si>
  <si>
    <t>Planning R26.15 Build deployment and preparing Defects and User story list part of teh release</t>
  </si>
  <si>
    <t>Taking the backup and deploying R26.15 builds to SIT2 env</t>
  </si>
  <si>
    <t>Creating task and test execution for R26.15 release regression and adding  test cases to each execution</t>
  </si>
  <si>
    <t>Providing Build details to Deveops team for GAPSTEST deployment and tracking the deploymnet and smoke test</t>
  </si>
  <si>
    <t>Preparing tracker for Release regression and assigning cases to team and tracking the GPASTEST deployment</t>
  </si>
  <si>
    <t>Meeting</t>
  </si>
  <si>
    <t xml:space="preserve">GW Upgrade Palisades validation and validating IG applications in GPASSIT2 and GPASTEST environment
</t>
  </si>
  <si>
    <t>Validate 6 Igapps in gpassit2 and gpastest</t>
  </si>
  <si>
    <t>Verifying logs for broker conatct and raised defect</t>
  </si>
  <si>
    <t>checked for 2 env payload and opened defect</t>
  </si>
  <si>
    <t>Defect analysis call</t>
  </si>
  <si>
    <t>Merger account scenario reproduce</t>
  </si>
  <si>
    <t>1 scenarios executed, by searching data in gapstest and step tool</t>
  </si>
  <si>
    <t>executed 2 scenarios</t>
  </si>
  <si>
    <t>Insight Clearance Meeting and data creation</t>
  </si>
  <si>
    <t>Daily QA Connect</t>
  </si>
  <si>
    <t>Beazley Offshore Daily Standup</t>
  </si>
  <si>
    <t>Beazley Offshore Integration Daily Standup</t>
  </si>
  <si>
    <t>Beazley DSM meeting</t>
  </si>
  <si>
    <t xml:space="preserve">Jira Testcases imorting and adding to execution </t>
  </si>
  <si>
    <t>11 cases and passed 2 cases</t>
  </si>
  <si>
    <t xml:space="preserve">created 2 set of data and in meeting sending paylaod to insight </t>
  </si>
  <si>
    <t>Validated multiple cobcode in insight</t>
  </si>
  <si>
    <t>validated 2 submission</t>
  </si>
  <si>
    <t xml:space="preserve">CRM data created </t>
  </si>
  <si>
    <t>2 set of heirarchy</t>
  </si>
  <si>
    <t>M prod observation validate</t>
  </si>
  <si>
    <t>2 account merge and finding duplicate account</t>
  </si>
  <si>
    <t>Retested Invocie related defect in UAT</t>
  </si>
  <si>
    <t>4 defects retested and passed</t>
  </si>
  <si>
    <t>Create and checked insight clearnce internal identifier with vijay in call</t>
  </si>
  <si>
    <t xml:space="preserve">For checking Insight clearance </t>
  </si>
  <si>
    <t>Checked for renewal data and new isured issue with team members and raised defect to insight</t>
  </si>
  <si>
    <t>Helped to get renewal data and checked logs for insured source id</t>
  </si>
  <si>
    <t>Cross checked Jira US for release 1.2 which is already dev completed</t>
  </si>
  <si>
    <t>Jira task</t>
  </si>
  <si>
    <t>Activate badge training</t>
  </si>
  <si>
    <t>Capgemini training</t>
  </si>
  <si>
    <t>Checking for step id creating in lower env</t>
  </si>
  <si>
    <t xml:space="preserve">Checking with insight team </t>
  </si>
  <si>
    <t>MDM SearchforCreateAPI#LegalName Graph QL</t>
  </si>
  <si>
    <t xml:space="preserve">Checked for step id creation in lower env (cross verified with external team ) </t>
  </si>
  <si>
    <t>Helped for broker organization update in ADL for config developer</t>
  </si>
  <si>
    <t xml:space="preserve">Helped to UPDATE BROKER ORG in all env </t>
  </si>
  <si>
    <t>Analyzing the Integration user story and creation of crm data</t>
  </si>
  <si>
    <t xml:space="preserve">Had a call with Amin for datadog dashboard </t>
  </si>
  <si>
    <t>Exception task</t>
  </si>
  <si>
    <t>L2 Certificate training</t>
  </si>
  <si>
    <t>Daily Meeting</t>
  </si>
  <si>
    <t>Daily meeting</t>
  </si>
  <si>
    <t xml:space="preserve">Checked defect for PC , GPS-27060 </t>
  </si>
  <si>
    <t>Informed dev to update password in seacret magaer and tested</t>
  </si>
  <si>
    <t>Checked MDM graphQL for search by legal name</t>
  </si>
  <si>
    <t>Helped Integ dev to check the flow in sit1</t>
  </si>
  <si>
    <t>Created Multiple cobcode data and provided paylaod for PC dev</t>
  </si>
  <si>
    <t>Provided 2 set of paylaod in different env</t>
  </si>
  <si>
    <t>Follow Up : GPS-27051 Defect Discussion with BA, Dev and Testing Team</t>
  </si>
  <si>
    <t>Broker discussion</t>
  </si>
  <si>
    <t>Exception report , analyzed prod exception confluence page</t>
  </si>
  <si>
    <t>Analyzed prod exception confluence page and checkd IGAPPS exception in gpastest</t>
  </si>
  <si>
    <t>Snowflake just checked the access and some jira activity for R1.2</t>
  </si>
  <si>
    <t xml:space="preserve">Meeting </t>
  </si>
  <si>
    <t>Connencted with Integ dev and opened defect for adaptive card and retested</t>
  </si>
  <si>
    <t>1 defect , 3 time tested</t>
  </si>
  <si>
    <t>As per vijay tested Adaptive card in all env</t>
  </si>
  <si>
    <t>Regression flow 34 env checked</t>
  </si>
  <si>
    <t>Call with sapna for submission and account data flow for different scenarios</t>
  </si>
  <si>
    <t>for account vs policy link and mdm address update</t>
  </si>
  <si>
    <t>Exception report call, and check</t>
  </si>
  <si>
    <t>Analyzed MDM GraphQL scenarios</t>
  </si>
  <si>
    <t>US analysis</t>
  </si>
  <si>
    <t>Analyzing the exception in the data dog</t>
  </si>
  <si>
    <t>EOD status call</t>
  </si>
  <si>
    <t>Permission first half</t>
  </si>
  <si>
    <t>Drafted mdm test cases and searched for the data in mdm step tool</t>
  </si>
  <si>
    <t>GPS-27428, 10 test cases,and data setup</t>
  </si>
  <si>
    <t>Account va policy discussion with BA and DEv</t>
  </si>
  <si>
    <t>Detailed discussion to check the gaps</t>
  </si>
  <si>
    <t>Review meeting for mdm GPS-27428 
Discussion with dev and BA for MDM story</t>
  </si>
  <si>
    <t>with vijay,soma, and dev team for tc review</t>
  </si>
  <si>
    <t>Execution of GPS-27428</t>
  </si>
  <si>
    <t>Executed with manoj all the scenarios</t>
  </si>
  <si>
    <t>Review of regression flows and evidences</t>
  </si>
  <si>
    <t>all the igapps cross checked</t>
  </si>
  <si>
    <t>Retested Adaptive card and verified logs</t>
  </si>
  <si>
    <t>Checked for broker with 255 characters</t>
  </si>
  <si>
    <t>GPS-27428 Data setup in gpas test</t>
  </si>
  <si>
    <t>Regression of Igapp(MDM)</t>
  </si>
  <si>
    <t>Review of regression flows and evidences for gpastest</t>
  </si>
  <si>
    <t>Connected Manager Meeting</t>
  </si>
  <si>
    <t>Automation Initial Set up</t>
  </si>
  <si>
    <t>Testsigma Training</t>
  </si>
  <si>
    <t>Call with vijay for report check</t>
  </si>
  <si>
    <t xml:space="preserve">MandatoryTraining </t>
  </si>
  <si>
    <t>1st July</t>
  </si>
  <si>
    <t>10hrs</t>
  </si>
  <si>
    <t xml:space="preserve">Performed GW Upgrade Palisades validation by deploying and validating IG applications in GPASSIT2 and GPASTEST environments. Identified failures in two IG applications, reported the issues to the development team, received updated builds, and successfully revalidated the applications
</t>
  </si>
  <si>
    <t>There 14 IG apps deployed those and validated positive and negative scenarios for 11 IG apps in GPASSIT2 and GPASTEST</t>
  </si>
  <si>
    <t>Documenting the validations and Updating in Jira</t>
  </si>
  <si>
    <t>Documenting those IG apps related and updating in Jira</t>
  </si>
  <si>
    <t xml:space="preserve">Created CRM records for people to use </t>
  </si>
  <si>
    <t xml:space="preserve">Created few records and those should flow to PC to BC and CM </t>
  </si>
  <si>
    <t>In Call with Tester for some Invoice related issue</t>
  </si>
  <si>
    <t xml:space="preserve">Connected with tester on invoice issue and checked in multiple env's </t>
  </si>
  <si>
    <t>2nd July</t>
  </si>
  <si>
    <t xml:space="preserve">Performed GW Upgrade Palisades validation and validating IG applications in UAT environment
</t>
  </si>
  <si>
    <t>There 14 IG apps deployed and validated positive and negative scenarios for 11 IG apps in UAT</t>
  </si>
  <si>
    <t xml:space="preserve">Validated Underwriting (UW) behavior and activity logging for Broker Status Mapping updates across multiple business source types. Verified system functionality when Broker Company, Office, Contact, and Agreement status mappings were modified in CRM for Broker, In-house Broker, Direct to Insured, and Unapproved Broker business sources, ensuring accurate status synchronization, activity logging, and expected underwriting behavior
One of the Scenario in 13 UAT Scenario CR57
</t>
  </si>
  <si>
    <t xml:space="preserve">Executed 7 Scenarios while creating 7 different CRM records doing different validations </t>
  </si>
  <si>
    <t>R1.1.1  defect retest in UAT</t>
  </si>
  <si>
    <t xml:space="preserve">Executed 7 Scenarios </t>
  </si>
  <si>
    <t>VDI issues-Slowness</t>
  </si>
  <si>
    <t>Struggled for an hour due to lag in the system</t>
  </si>
  <si>
    <t>3rd July</t>
  </si>
  <si>
    <t>10hrs.15mins</t>
  </si>
  <si>
    <t>Executed 2 Scenarios</t>
  </si>
  <si>
    <t>R1.1.3 Regression of IG Apps and Updating in Jira in GPASTEST and UAT</t>
  </si>
  <si>
    <t>Executed 7 apps related
Attached documents for GPASTEST
Need to do for UAT related</t>
  </si>
  <si>
    <t xml:space="preserve">Helping in GPASTEST invoice validation for the policy related transactions of UAT 13 Scenarios </t>
  </si>
  <si>
    <t>Validated few invoices related UAT 13 scenarios</t>
  </si>
  <si>
    <t>Helped BC team member with CRM broker data on their transactions</t>
  </si>
  <si>
    <t xml:space="preserve">Creating records and did transactions on those brokers from CRM </t>
  </si>
  <si>
    <t xml:space="preserve">CM regression Jira updating </t>
  </si>
  <si>
    <t>15mins</t>
  </si>
  <si>
    <t xml:space="preserve">Passed GPASTEST CM regression related to CRM </t>
  </si>
  <si>
    <t>Invoice test cases helping team member</t>
  </si>
  <si>
    <t>Helping in cloning and uploading Jira cases</t>
  </si>
  <si>
    <t>6th July</t>
  </si>
  <si>
    <t>Remaining 6 apps related executed
Attached documents for GPASTEST and UAT</t>
  </si>
  <si>
    <t>Helping out in Invoice testing in UAT for 130 scenarios related</t>
  </si>
  <si>
    <t>Validated for Co insurance and Vertical pricing and Migrated renewal transactions for invoice</t>
  </si>
  <si>
    <t>Got to know the Vertical pricing and CoInsurance tax related queries</t>
  </si>
  <si>
    <t>Learnt from PC testers and practised few policies</t>
  </si>
  <si>
    <t xml:space="preserve">7th July </t>
  </si>
  <si>
    <t>7th July</t>
  </si>
  <si>
    <t xml:space="preserve">Deploying IG apps in GPASSIT1 of all 14 apps </t>
  </si>
  <si>
    <t>Deployed and validating IG apps in GPASSIT1 of all 14 IG apps</t>
  </si>
  <si>
    <t>Testing Exception scenario of IGBCDOCUMENTAPP in GPASSIT1</t>
  </si>
  <si>
    <t xml:space="preserve">Stopped in the middle as Other tester is testing Positive flow 
will continue after they're done with positve flow 
</t>
  </si>
  <si>
    <t>Started analysis of GPS-27030 to start testing story of GPS-27031</t>
  </si>
  <si>
    <t xml:space="preserve">Connected with BA and Tested out some scenarios in PC and BC and document related as this is related to Invoice </t>
  </si>
  <si>
    <t xml:space="preserve">Helping out tester in Invoice Validation for Cyber </t>
  </si>
  <si>
    <t>OEP and Run Off Cyber and ML related dates and amounts Validations</t>
  </si>
  <si>
    <t xml:space="preserve">Helping out tester in CRM records for his story validations </t>
  </si>
  <si>
    <t>8th July</t>
  </si>
  <si>
    <t>Test story test cases analysis of execution flows of integration story GPS-27031</t>
  </si>
  <si>
    <t>Compare with excel sheet of tax types for 37 different countries Tax type related in PC UI</t>
  </si>
  <si>
    <t>Continue with Exception scenario of IGBCDOCUMENTAPP in GPASSIT1</t>
  </si>
  <si>
    <t>30 mins</t>
  </si>
  <si>
    <t>Yesterday tried with different builds it didnot work so today continuing once we get the builds
still the issue persists</t>
  </si>
  <si>
    <t>Raised a defect on my integ story GPS-27354</t>
  </si>
  <si>
    <t xml:space="preserve">Had a discussion with Dev on it </t>
  </si>
  <si>
    <t xml:space="preserve">Created few records and those should flow to PC to BC and CM and related validations for his testing </t>
  </si>
  <si>
    <t xml:space="preserve">Explained two scenarios which can be automated for CR57 and 
and remaining we cannot do as there's dependency on CRM records flow
</t>
  </si>
  <si>
    <t>9th July Leave</t>
  </si>
  <si>
    <t xml:space="preserve">10th July </t>
  </si>
  <si>
    <t>CR57 in GPASTEST</t>
  </si>
  <si>
    <t xml:space="preserve">Created records from CRM and validations and updates </t>
  </si>
  <si>
    <t xml:space="preserve">Deploying IG apps in GPASSIT2 of all 14 apps </t>
  </si>
  <si>
    <t>Deployed and validating IG apps in GPASSIT2 of all 14 IG apps</t>
  </si>
  <si>
    <t>Regression of IGAPPS in GPASTEST</t>
  </si>
  <si>
    <t>Validating IG apps in GPASSIT2 few apps</t>
  </si>
  <si>
    <t>Created few insight accounts for some testers</t>
  </si>
  <si>
    <t>Some used old accounts 1 month back so created few accounts</t>
  </si>
  <si>
    <t xml:space="preserve">13th July </t>
  </si>
  <si>
    <t>9hrs</t>
  </si>
  <si>
    <t>Remaining IGAPPS re test in GPASTEST</t>
  </si>
  <si>
    <t>Tested the igapps and passed in Jira</t>
  </si>
  <si>
    <t>Re testing one Defect on igadaptive card in GPASSIT1</t>
  </si>
  <si>
    <t>Helping tester in validation of Invoices</t>
  </si>
  <si>
    <t>Validating the scearios of invoice and updating in Jira</t>
  </si>
  <si>
    <t xml:space="preserve">14th July </t>
  </si>
  <si>
    <t xml:space="preserve">Invoice validation </t>
  </si>
  <si>
    <t>Validated few scenarios of Invoice OEP and Run off with tester</t>
  </si>
  <si>
    <t>IGAPPS regression in GPASSIT1/GPASSIT2</t>
  </si>
  <si>
    <t>Executed few igapps related in both env's</t>
  </si>
  <si>
    <t xml:space="preserve">MDM graphql story execution </t>
  </si>
  <si>
    <t>Created  CRM record for PC story</t>
  </si>
  <si>
    <t xml:space="preserve">15th July </t>
  </si>
  <si>
    <t>Defect raise after validation for MDM</t>
  </si>
  <si>
    <t xml:space="preserve">To understand the scenario and raise the defect with logs </t>
  </si>
  <si>
    <t xml:space="preserve">Defect explanation to Dev for Adaptive card related </t>
  </si>
  <si>
    <t>Got the build need to test after confirmation from Sridhar/Divya</t>
  </si>
  <si>
    <t>MDM graphql story execution in GPASSIT2 and GPASTEST</t>
  </si>
  <si>
    <t>In progress</t>
  </si>
  <si>
    <t>Defect closure with validation for MDM</t>
  </si>
  <si>
    <t>30mins</t>
  </si>
  <si>
    <t>Tried different scenarios based on it tested and closed the defect</t>
  </si>
  <si>
    <t>GPASTEST IG apps regression</t>
  </si>
  <si>
    <t xml:space="preserve">For fewer apps triggered the records and checked </t>
  </si>
  <si>
    <t>16th July</t>
  </si>
  <si>
    <t xml:space="preserve">UAT IG apps regression </t>
  </si>
  <si>
    <t>MDM graphql story execution in UAT</t>
  </si>
  <si>
    <t xml:space="preserve">Raised a defect on the MDM graphQL </t>
  </si>
  <si>
    <t xml:space="preserve">Created CRM records for CR57 </t>
  </si>
  <si>
    <t>For PC documents unable to see , testing with dev for the builds</t>
  </si>
  <si>
    <t>Created records from ADL</t>
  </si>
  <si>
    <t xml:space="preserve">For PC documents unable to see , testing with dev for the builds
Defect re tested in GPASSIT1/GPASSIT2 after deployment </t>
  </si>
  <si>
    <t>17th July</t>
  </si>
  <si>
    <t>IGAPPS regression in GPASTEST</t>
  </si>
  <si>
    <t>CR57 execution in UAT</t>
  </si>
  <si>
    <t>Executed and validated and passed inJira and sheet</t>
  </si>
  <si>
    <t>MDM graphql story defect and relalted scenarios execution in GPASTEST</t>
  </si>
  <si>
    <t>R1.2 user story execution</t>
  </si>
  <si>
    <t>Executed and validated and passed</t>
  </si>
  <si>
    <t>20th July</t>
  </si>
  <si>
    <t xml:space="preserve">Insight apps went down </t>
  </si>
  <si>
    <t>IG apps regression in UAT</t>
  </si>
  <si>
    <t>MDM graphql regression in UAT</t>
  </si>
  <si>
    <t>Invoice prod defect came doing analysis</t>
  </si>
  <si>
    <t>Upcoming stories analysis</t>
  </si>
  <si>
    <t>GS-123 validation</t>
  </si>
  <si>
    <t>Standup call with QA and Dev team</t>
  </si>
  <si>
    <t>Deployed some IG apps into SIT2 environment and updated the trackers and validated them in SIT2 and Test environment</t>
  </si>
  <si>
    <t>In a call with developer for reexecuting test scenarios</t>
  </si>
  <si>
    <t>Validated few scenarios related to insight in lower environments</t>
  </si>
  <si>
    <t>Reexecuted test scenarios</t>
  </si>
  <si>
    <t>Executed 6 test cases</t>
  </si>
  <si>
    <t>UAT scenarios execution</t>
  </si>
  <si>
    <t>Executed 12 test cases</t>
  </si>
  <si>
    <t>Exception validations</t>
  </si>
  <si>
    <t>Executed exception handling scenaiors for IG apps</t>
  </si>
  <si>
    <t>Insight clearence meeting</t>
  </si>
  <si>
    <t>In a call with business team</t>
  </si>
  <si>
    <t>Standup call with QA and Dev team and with business</t>
  </si>
  <si>
    <t>Tested 6 defects in UAT.</t>
  </si>
  <si>
    <t>Performed regression for 3 igapps and updated the trackers and attached evidences</t>
  </si>
  <si>
    <t>Back dated data creation</t>
  </si>
  <si>
    <t>Created back data policies in Test and SIT2</t>
  </si>
  <si>
    <t>Connected with developer for defect re creation</t>
  </si>
  <si>
    <t>Helped developer with steps to reproduce the defect.</t>
  </si>
  <si>
    <t>Jira updation</t>
  </si>
  <si>
    <t>Updated JIRA.</t>
  </si>
  <si>
    <t>Migrarated renewal data creation</t>
  </si>
  <si>
    <t xml:space="preserve">Created 20 submissions </t>
  </si>
  <si>
    <t>Exception validation meeting</t>
  </si>
  <si>
    <t>Internal call with dev team</t>
  </si>
  <si>
    <t>Submissions creation in SIT2</t>
  </si>
  <si>
    <t>Data creation</t>
  </si>
  <si>
    <t>Supported to reproducing the issue and find the root cause</t>
  </si>
  <si>
    <t>Connected intenally with dev team</t>
  </si>
  <si>
    <t>VDI Issue</t>
  </si>
  <si>
    <t>IGAPPS deployment</t>
  </si>
  <si>
    <t>Deployed and validated IG apps in  gpassdev2 of all 14 IG apps</t>
  </si>
  <si>
    <t>Builds updation</t>
  </si>
  <si>
    <t>created some missing helios properties in Gpassdev2</t>
  </si>
  <si>
    <t>Created helios properties</t>
  </si>
  <si>
    <t xml:space="preserve">Analysed the integration user story </t>
  </si>
  <si>
    <t>Scenarios drafting</t>
  </si>
  <si>
    <t>Internal team meeting</t>
  </si>
  <si>
    <t xml:space="preserve">created some missing helios properties </t>
  </si>
  <si>
    <t>Analysed the integration user story GPS-26915</t>
  </si>
  <si>
    <t xml:space="preserve">Scenarios drafting </t>
  </si>
  <si>
    <t>Explained and shown demo to automation team on CR50</t>
  </si>
  <si>
    <t>CR50 Demo</t>
  </si>
  <si>
    <t>In a call with BA for scenarios discussion</t>
  </si>
  <si>
    <t>Internal discussion</t>
  </si>
  <si>
    <t xml:space="preserve">Validated igbcdcoument ig app logs </t>
  </si>
  <si>
    <t>Route cause analysis</t>
  </si>
  <si>
    <t>9th july</t>
  </si>
  <si>
    <t>Worked on GPS-26372, GPS-26374</t>
  </si>
  <si>
    <t>Execution</t>
  </si>
  <si>
    <t>Explained and shown demo to automation team on CR50 and TCR1GS004_TC01</t>
  </si>
  <si>
    <t>In a call with developer on adaptive card discussion</t>
  </si>
  <si>
    <t>Defect validation</t>
  </si>
  <si>
    <t>demo</t>
  </si>
  <si>
    <t>10th July On leave</t>
  </si>
  <si>
    <t>13th july</t>
  </si>
  <si>
    <t>Worked on IGUWauth app, Polnumgenerator, GPS-25528 and GPS-27070</t>
  </si>
  <si>
    <t xml:space="preserve">In a call with developer </t>
  </si>
  <si>
    <t>14th july</t>
  </si>
  <si>
    <t>User story analysis and Test cases drafting</t>
  </si>
  <si>
    <t>analysis and drafting</t>
  </si>
  <si>
    <t>SIT2 sanity for IGAPPS</t>
  </si>
  <si>
    <t>IGAPPS  retest</t>
  </si>
  <si>
    <t>15th july</t>
  </si>
  <si>
    <t>Defect validation GPS-</t>
  </si>
  <si>
    <t>16th july</t>
  </si>
  <si>
    <t>IGAPPS Regression</t>
  </si>
  <si>
    <t>17th july</t>
  </si>
  <si>
    <t>10 hr</t>
  </si>
  <si>
    <t>Daily QA Connect, PC QA Connect</t>
  </si>
  <si>
    <t xml:space="preserve">PC Account Vs Policy Field linkage </t>
  </si>
  <si>
    <t xml:space="preserve">Executed Sapna'sTask and Provided the data </t>
  </si>
  <si>
    <t xml:space="preserve">Defect retest </t>
  </si>
  <si>
    <t>30 min</t>
  </si>
  <si>
    <t xml:space="preserve">UAT Defect retest </t>
  </si>
  <si>
    <t>Test case Drafted for Migation Renewal</t>
  </si>
  <si>
    <t>S12 Drafted for UAT</t>
  </si>
  <si>
    <t xml:space="preserve">Backdated Data creation </t>
  </si>
  <si>
    <t>Created 9 new Data for TEST env and 7 Submission checked PC BC flow</t>
  </si>
  <si>
    <t>Adhoc Testing for UW Control in SIT2</t>
  </si>
  <si>
    <t>UW control Scarnios checked in SIT2, SIT1, TEST, DEV2 and UAT env</t>
  </si>
  <si>
    <t>Defect log in Jira</t>
  </si>
  <si>
    <t>15 min</t>
  </si>
  <si>
    <t>Log a Defect for Portuguese Broker Stamp Duty Amount Not Updadated</t>
  </si>
  <si>
    <t>Checked the Flow for PC to CC into UAT env</t>
  </si>
  <si>
    <t xml:space="preserve">Checked  35 Policy in UAT PC and CC data flowing </t>
  </si>
  <si>
    <t>Call with DEV regarding observations for defect GPS-27136</t>
  </si>
  <si>
    <t>Discuss with Dev and Sapna for defect Portuguese Broker Stamp Duty releated</t>
  </si>
  <si>
    <t>Follow Up : GPS-27051 Defect Discussion</t>
  </si>
  <si>
    <t>Meeting with Dev and BA</t>
  </si>
  <si>
    <t>9 hr</t>
  </si>
  <si>
    <t>Created data and checked activity  from MDM to PC</t>
  </si>
  <si>
    <t>Executed S3 and S12 in UAT env</t>
  </si>
  <si>
    <t>Defect retested for R1.1.2 and R1.1.3</t>
  </si>
  <si>
    <t>2.5 hr</t>
  </si>
  <si>
    <t>5 Defect retested in UAT env</t>
  </si>
  <si>
    <t>1.5 hr</t>
  </si>
  <si>
    <t>Daily QA Connect, PC QA Connect, QA Stand up at EOD</t>
  </si>
  <si>
    <t>Defect retest GPS-27027</t>
  </si>
  <si>
    <t>Executed 6 point PC BC flow, 1, 2,3, 4, 17 and 18</t>
  </si>
  <si>
    <t>Conntected with Anshika and Manoj</t>
  </si>
  <si>
    <t xml:space="preserve">Tax calcuation tested in SIT1 and UAT and TEST env </t>
  </si>
  <si>
    <t>GPS-27051 Defect Discussion with Testing team and executed some Scenario</t>
  </si>
  <si>
    <t>5 Scenario we executed</t>
  </si>
  <si>
    <t>UW Rational Meeting with BA and Dev Team</t>
  </si>
  <si>
    <t>Contra-Rewrite on Policy with OEP/Run Off and New Business RunOff Meeting</t>
  </si>
  <si>
    <t>47 min</t>
  </si>
  <si>
    <t>Tested Migration BPN Policy test for Term Number with Anshika</t>
  </si>
  <si>
    <t>12 min</t>
  </si>
  <si>
    <t>Executed BPN Policy for Migration Policy in UAT and Test env</t>
  </si>
  <si>
    <t>1 hr</t>
  </si>
  <si>
    <t>Daily QA Connect, QA Stand up at EOD</t>
  </si>
  <si>
    <t>Connected with Midhun</t>
  </si>
  <si>
    <t>Updated the Test steps for UW Controls</t>
  </si>
  <si>
    <t>Supported to reproducing the issue and find the root cause and explain the vertical price other Team member</t>
  </si>
  <si>
    <t xml:space="preserve">2 hr </t>
  </si>
  <si>
    <t xml:space="preserve">GPS-27150 </t>
  </si>
  <si>
    <t>Submission creation for SIT2</t>
  </si>
  <si>
    <t xml:space="preserve">3 hr </t>
  </si>
  <si>
    <t>Creation non migration and migartion and Back dated submission in SIT2</t>
  </si>
  <si>
    <t>Cyber check list - meeting with automation team</t>
  </si>
  <si>
    <t>2 hr</t>
  </si>
  <si>
    <t>Discussed the required changes for updating the automation scripts</t>
  </si>
  <si>
    <t xml:space="preserve">Team meeting </t>
  </si>
  <si>
    <t>Took KT from Priyanka and set up the application for Quality Gate</t>
  </si>
  <si>
    <t xml:space="preserve">Set up the Details for Quality Gate check </t>
  </si>
  <si>
    <t xml:space="preserve">3 Defect Retested in SIT1 for R1.2 </t>
  </si>
  <si>
    <t xml:space="preserve">2.5 hr </t>
  </si>
  <si>
    <t>Defect retested in SIT1 GPS-27136, GPS-27060 and GPS-26763</t>
  </si>
  <si>
    <t>Created invoice data in SIT1</t>
  </si>
  <si>
    <t xml:space="preserve">Created data for Invoice related in SIT1 for differnet different combination </t>
  </si>
  <si>
    <t>Connected with Midhun for UW control related issue</t>
  </si>
  <si>
    <t xml:space="preserve">We putted the Query to BA for Clarifation and tested the Combination </t>
  </si>
  <si>
    <t xml:space="preserve">Connected with Pavan for Migration data creation </t>
  </si>
  <si>
    <t xml:space="preserve">EOD call </t>
  </si>
  <si>
    <t>Retested the Defect GPS-27060</t>
  </si>
  <si>
    <t xml:space="preserve">Connected with Ravi P and Divya to tested this defect </t>
  </si>
  <si>
    <t>Did the set up for automation in CG</t>
  </si>
  <si>
    <t xml:space="preserve">Tested all AC's part for GPS-24113 for demo readyness </t>
  </si>
  <si>
    <t>Tested all 5 AC and 7 PCBR for GPS-24113</t>
  </si>
  <si>
    <t>Discussed with Sapna Prod defect GS-109</t>
  </si>
  <si>
    <t>0.5 hr</t>
  </si>
  <si>
    <t>Raised one Prod defect GPS-27359</t>
  </si>
  <si>
    <t>Discused with Sapna and Raised one Prod defect GPS-27359</t>
  </si>
  <si>
    <t>Executed one Test case for GPS-25755</t>
  </si>
  <si>
    <t>Executed GPS-26345 Test case</t>
  </si>
  <si>
    <t>Account vs Policy Meeting with Sapna</t>
  </si>
  <si>
    <t xml:space="preserve">Connected with Sapna and Testing Team, we tested with Account vs Policy Scanrios </t>
  </si>
  <si>
    <t>User Story GPS-27326 - OEP/Run Off - Any impact to BC, MDA and downstream process Meeting</t>
  </si>
  <si>
    <t xml:space="preserve">Rested Prod defect GS-125 </t>
  </si>
  <si>
    <t>Discussed requirement changes in the User story</t>
  </si>
  <si>
    <t>Rested Prod defect GS-35</t>
  </si>
  <si>
    <t>Exception Report Meeting</t>
  </si>
  <si>
    <t>Connected with Testing team with dev team for Clear the doubt for UW porfile</t>
  </si>
  <si>
    <t xml:space="preserve">Send mail to Manual for UW Authority </t>
  </si>
  <si>
    <t xml:space="preserve">Retested Action item which Sapna assinged to me on GPS-27326 </t>
  </si>
  <si>
    <t xml:space="preserve">1.5 hr </t>
  </si>
  <si>
    <t xml:space="preserve">Rested NB runoff and Runoff Funcationaltiy </t>
  </si>
  <si>
    <t>Checked Prod defect GS-109</t>
  </si>
  <si>
    <t xml:space="preserve">1 hr </t>
  </si>
  <si>
    <t>Retested this defect in lower env.</t>
  </si>
  <si>
    <t>Retested GPS-27051 defect in  SIT1</t>
  </si>
  <si>
    <t>Retested OOS For Change conflict</t>
  </si>
  <si>
    <t>Application set in VDI for Automation set up</t>
  </si>
  <si>
    <t>VDI set up</t>
  </si>
  <si>
    <t>Retested 6 check point defect GPS-27027</t>
  </si>
  <si>
    <t>GPS-27027 in GPASTEST env tested with 6 point</t>
  </si>
  <si>
    <t>Helped Pavan to the analysis of defects GPS-25867 &amp; GPS-25030</t>
  </si>
  <si>
    <t>.5 hr</t>
  </si>
  <si>
    <t>Halped Pavan to understand the Defect GPS-25867 and GPS-25030</t>
  </si>
  <si>
    <t>Executed rest 14 check point for Defect GPS-27027</t>
  </si>
  <si>
    <t>3.5 hr</t>
  </si>
  <si>
    <t>GPS-27027 in GPASTEST env tested with 14 point</t>
  </si>
  <si>
    <t xml:space="preserve">Checked policy retrieval in Guidewire (GW) and ClaimCenter. </t>
  </si>
  <si>
    <t>Retested 6 Defect in GPASTEST env</t>
  </si>
  <si>
    <t>3 hr</t>
  </si>
  <si>
    <t>GPS-26174, GPS-25864, GPS-25836, GPS-25867, GPS-26166 defect retested</t>
  </si>
  <si>
    <t>Helped Tharun to analsis for 2 defect.</t>
  </si>
  <si>
    <t>10.5 hr</t>
  </si>
  <si>
    <t xml:space="preserve">GPS-26166, GPS-26455, GPS-27051, GPS-25385 Defect rested in GPASTEST env.
</t>
  </si>
  <si>
    <t>Defect retested in GPASTEST env</t>
  </si>
  <si>
    <t xml:space="preserve">GPS-27359, Defect Retested in GPASSIT1 </t>
  </si>
  <si>
    <t>2 defect retesting in sit1</t>
  </si>
  <si>
    <t>Helped Pavan for defect GPS-25030</t>
  </si>
  <si>
    <t>Helped Ramakanth for Migration renewal steps</t>
  </si>
  <si>
    <t xml:space="preserve">GPS-26763 Defect Retested for Submission transaction in GPASSIT1 </t>
  </si>
  <si>
    <t>5 hr</t>
  </si>
  <si>
    <t>Helped Pavan for Data creation for Migration and helped to test GPS-27437</t>
  </si>
  <si>
    <t xml:space="preserve">Migration Policy </t>
  </si>
  <si>
    <t xml:space="preserve">Executed Backward data creation </t>
  </si>
  <si>
    <t>Backward data flwo checked in TEST env</t>
  </si>
  <si>
    <t>Connected with multiple person for defect GPS-26763 for Fix version</t>
  </si>
  <si>
    <t>Connect with Inthiyaz and Sridhar and Basu for fix version</t>
  </si>
  <si>
    <t xml:space="preserve">Connected with Sapna and Basu to understand the formula for vertical pricing </t>
  </si>
  <si>
    <t>Took KT for Calculation for Vertical price</t>
  </si>
  <si>
    <t>Doing testing for vertical pricing</t>
  </si>
  <si>
    <t>GPS-27073 - Account vs Policy Linkage - Testing Observations - Session 1 meeting</t>
  </si>
  <si>
    <t>Retested defect in UAT env</t>
  </si>
  <si>
    <t>GPS-26166, GPS-25867 and GPS-25836 rested in UAT env</t>
  </si>
  <si>
    <t>GPS-26763 defect retested in UAT env</t>
  </si>
  <si>
    <t xml:space="preserve">Multiple transaction did for vertical pricing with calcualtion </t>
  </si>
  <si>
    <t xml:space="preserve">PC-BC flow </t>
  </si>
  <si>
    <t>13 Check point tested for PC-BC flow in UAT env</t>
  </si>
  <si>
    <t>Defect retest GPS-27136</t>
  </si>
  <si>
    <t xml:space="preserve">.5 hr </t>
  </si>
  <si>
    <t>Defect retested in UAT env</t>
  </si>
  <si>
    <t>Defect retest GPS-25867</t>
  </si>
  <si>
    <t>Defect retest GPS-25618</t>
  </si>
  <si>
    <t>Defect retest GPS-24431</t>
  </si>
  <si>
    <t>Defect retest GPS-23451</t>
  </si>
  <si>
    <t>CR User story GPS-26775</t>
  </si>
  <si>
    <t>CR User story GPS-24113</t>
  </si>
  <si>
    <t>4 hr</t>
  </si>
  <si>
    <t>Checked the insight application for 18 an 20</t>
  </si>
  <si>
    <t>Defect retested GPS-27537 with multiple combination</t>
  </si>
  <si>
    <t>Tested multiple combination for GPS-27537 defect</t>
  </si>
  <si>
    <t>Attended Testsigma session</t>
  </si>
  <si>
    <t xml:space="preserve">Retrive last run UAT cases data </t>
  </si>
  <si>
    <t>Checked multiple policy in UAT env for last time test data</t>
  </si>
  <si>
    <t>Attended Testsigma meeting</t>
  </si>
  <si>
    <t>9.30 mins</t>
  </si>
  <si>
    <t>Reproduce the Prod defect GS-193</t>
  </si>
  <si>
    <t>replicated the issue in test env and added comment in GS-193</t>
  </si>
  <si>
    <t>Started analyzing User Story GPS-26181</t>
  </si>
  <si>
    <t>Started analyzing User Story GPS-26181 and reviewing the requirements and Drafted the 10 TC</t>
  </si>
  <si>
    <t xml:space="preserve">Created data for MDA team </t>
  </si>
  <si>
    <t>Created the data for MDA team for Coinsurance seacnrio and checked PC-BC flow with correct data</t>
  </si>
  <si>
    <t>Connected Midhun and explain the PC-BC flow</t>
  </si>
  <si>
    <t>Connected with Midhun and explain all 20 check point for PC-BC flow</t>
  </si>
  <si>
    <t xml:space="preserve">Retested defct GPS-27145 in test and assinged back to Eloy to recheck </t>
  </si>
  <si>
    <t xml:space="preserve">30 min </t>
  </si>
  <si>
    <t>Retested GPS-27145 defect in test env and putted the comment and assinged back to Eloy to check again.</t>
  </si>
  <si>
    <t>GPS-27073 - Account vs Policy Linkage - Testing Observations - Session 2 meeting</t>
  </si>
  <si>
    <t>Executed CR-51 in TEST env</t>
  </si>
  <si>
    <t>Executed GPS-20541 in TEST env</t>
  </si>
  <si>
    <t>Set up the automation application</t>
  </si>
  <si>
    <t>Retested GPS-27080 in SIT1</t>
  </si>
  <si>
    <t>Defect retested in SIT1 env</t>
  </si>
  <si>
    <t>Retested defect GPS-27537 4 Scenarios in SIT1</t>
  </si>
  <si>
    <t xml:space="preserve">4 hr </t>
  </si>
  <si>
    <t>Retested defect GPS-27537 3 Scenarios in SIT1</t>
  </si>
  <si>
    <t>Executed 3 Scenarios in SIT1 and replicated the penny issue with Komala and Komala raised defect for this issue Defect GPS-27651</t>
  </si>
  <si>
    <t>Drafted the TC for GPS-26181</t>
  </si>
  <si>
    <t>Drafted the 13 more Test case for GPS-26181</t>
  </si>
  <si>
    <t xml:space="preserve">Reproduce the Prod defect GS-193 in SIT1 </t>
  </si>
  <si>
    <t xml:space="preserve">to raise defect as per comment by Shere and Oscar but it is now not reproducable, so comment with Sapna and Mallika for future action </t>
  </si>
  <si>
    <t>Uploaded the TC into jira for PC-BC flow</t>
  </si>
  <si>
    <t>Uploaded 20 TC in jira for PC-BC flow</t>
  </si>
  <si>
    <t xml:space="preserve">Uploaded the TC for Retrive last and new run UAT cases data </t>
  </si>
  <si>
    <t>Uploaed 2 Tc in jira</t>
  </si>
  <si>
    <t>Executed two TC for GPS-26609</t>
  </si>
  <si>
    <t>Executed 2 Cyber TC for GPS-26609</t>
  </si>
  <si>
    <t xml:space="preserve">Executed GPS-27527 defect and Connected with Sapna and basu for clarifiaction on this defect </t>
  </si>
  <si>
    <t xml:space="preserve">Retested GPS-27527 defect in SIT1 and connect with Sapna, Basu and Divya for clarification </t>
  </si>
  <si>
    <t>Daily QA connect, Beazley Offshore Daily Standup</t>
  </si>
  <si>
    <t>Coinusrance + Vertical Pricing+ Contra Rewrite+Contra Policy change (e2e complex scenario)</t>
  </si>
  <si>
    <t>5 defects retested in GPASTEST 
GPS-26458, GPS-26337, GPS-25935, GPS-26326</t>
  </si>
  <si>
    <t>Backdated data execution</t>
  </si>
  <si>
    <t>validated 5 Policies in Test environment PC-to BC flow</t>
  </si>
  <si>
    <t>Data creation for Account Vs Primary named Insured -BA call</t>
  </si>
  <si>
    <t>created 10 Accounts in Test environment for the validation</t>
  </si>
  <si>
    <t>Daily QA connect, Beazley Offshore Daily Standup
QA standup by EOD</t>
  </si>
  <si>
    <t>UAT regression-2 scenarios</t>
  </si>
  <si>
    <t xml:space="preserve">Scenario-1: NB+Policy Change+Cancel+ Reinstatment+Contra Policy change+ Cnotra Rewrite(complex scenario in Vertical pricing)
Scenario-2: NB+Contra Rewrite+ Policy change+contra Policy change+ Policy change
</t>
  </si>
  <si>
    <t>R1.1.3 Regression  - Defects retesting UAT</t>
  </si>
  <si>
    <t>GPS-26458, GPS-26337</t>
  </si>
  <si>
    <t>R1.1.3 Regression  - Defects retesting -UAT</t>
  </si>
  <si>
    <t>GPS-25935, GPS-26326</t>
  </si>
  <si>
    <t>Backdated data creation</t>
  </si>
  <si>
    <t>Created 5 Policies in Test environment -Policy Change draft</t>
  </si>
  <si>
    <t>Taxable Amount issue-replicated in Gpassit1 which is informed by Manoj</t>
  </si>
  <si>
    <t>NB+Coinsurance+ taxcalculations</t>
  </si>
  <si>
    <t>GPS-26763 defect retest</t>
  </si>
  <si>
    <t>defect retsted and reopened</t>
  </si>
  <si>
    <t>Contra-Rewrite on Policy with OEP/Run Off and New Business RunOff</t>
  </si>
  <si>
    <t>Meeing with BA team and Dev team</t>
  </si>
  <si>
    <t>Backdated data creation for SIT2</t>
  </si>
  <si>
    <t xml:space="preserve">created 6 Policies in GPASSIT2 </t>
  </si>
  <si>
    <t>Backdated data creation-ML-UAT</t>
  </si>
  <si>
    <t>2 Policies with MTA Policy change</t>
  </si>
  <si>
    <t>Backdated data creation-ML-SIT2</t>
  </si>
  <si>
    <t>Backdated data creation-Cyber-UAT</t>
  </si>
  <si>
    <t>Backdated data creation-Cyber-SIT2</t>
  </si>
  <si>
    <t>Backdated data creation-Migrated-UAT</t>
  </si>
  <si>
    <t>4 Policies with MTA Policy change</t>
  </si>
  <si>
    <t>Coinsurance+Vertical Pricing calculation clarification to Manoj &amp; Anshika</t>
  </si>
  <si>
    <t xml:space="preserve">For Coinsurance Policies- Invoice validation </t>
  </si>
  <si>
    <t>Backdated data creation-Decline, withdrwan, Not-taken-SIT2 &amp; TEST</t>
  </si>
  <si>
    <t>6 Submissions created with declined, withdrwan &amp; Not-taken staus</t>
  </si>
  <si>
    <t>Backdated data creation-Migrated-SIT2</t>
  </si>
  <si>
    <t xml:space="preserve">Created 2 Policies with Policy change draft </t>
  </si>
  <si>
    <t>Defect retest in GPASSIT1 for R1.2</t>
  </si>
  <si>
    <t>GPS-26763, GPS-27062</t>
  </si>
  <si>
    <t xml:space="preserve">Helped Pavan for VDI issue &amp; Migrated Policy creation </t>
  </si>
  <si>
    <t>Involved in completing mandatory training (in progress)</t>
  </si>
  <si>
    <t>Daily QA connect, Beazley Offshore Daily Standup, Beazley Testing DSM 
QA standup by EOD</t>
  </si>
  <si>
    <t xml:space="preserve">R1.2 defects status checking </t>
  </si>
  <si>
    <t xml:space="preserve">Total 22 defects validated </t>
  </si>
  <si>
    <t>Quality Gate KT from Shanmuki</t>
  </si>
  <si>
    <t xml:space="preserve">Tested  7 AC's part for GPS-23746 for demo readyness </t>
  </si>
  <si>
    <t>7 AC's with respective BR's</t>
  </si>
  <si>
    <t xml:space="preserve">Playright learning from Udemy </t>
  </si>
  <si>
    <t xml:space="preserve">Executed GPS-25755 test cases </t>
  </si>
  <si>
    <t>2 E2E test cases ececuted</t>
  </si>
  <si>
    <t>GPS-27051 Defect Retested with Anshu(BOR related)</t>
  </si>
  <si>
    <t>UAT Regression_ Scenario-1(Vertical Pricing) executed</t>
  </si>
  <si>
    <t>NB+Coinsurance+taxcalcultions+Policy change+Cancellation+Reinstatement+Contra Policy change+Contra Rewrite</t>
  </si>
  <si>
    <t>UAT Regression_ Scenario-2(Vertical Pricing) Excecution is inProgress</t>
  </si>
  <si>
    <t>NB+Coinsurance+taxcalcultions+Contra Rewrite+Policy change+Contra Policy change+Policy change</t>
  </si>
  <si>
    <t>UAT Regression_ Scenario-1(Vertical Pricing) - cross verified calculations</t>
  </si>
  <si>
    <t>UAT Regression_ Scenario-2(Vertical Pricing) Excecution completed</t>
  </si>
  <si>
    <t>GPS-27062-defect retested</t>
  </si>
  <si>
    <t>defect closed</t>
  </si>
  <si>
    <t>CR50 invoice validation + KT from Indu( invoice validation)</t>
  </si>
  <si>
    <t>validation is inprogress</t>
  </si>
  <si>
    <t>GPS-27358-Test Design</t>
  </si>
  <si>
    <t>Test design completed with 5 test cases</t>
  </si>
  <si>
    <t>Validation completed for 4 invoices</t>
  </si>
  <si>
    <t>GPS-27358-Test Design review with Vijay &amp; Broker Organization creation with Divya</t>
  </si>
  <si>
    <t>GPS-26596 defect retested in GPASTEST environment</t>
  </si>
  <si>
    <t xml:space="preserve">defect will be closed once it is retested in UAT </t>
  </si>
  <si>
    <t>Back dated data tested in SIT2 environemnt</t>
  </si>
  <si>
    <t>16 policies tested in GPASSIT2-PC-&gt;BC flow &amp; Invoice generation</t>
  </si>
  <si>
    <t>Worked on GPS-27358 User Story - A discussion was held with the Dev team regarding defect retesting and fixes</t>
  </si>
  <si>
    <t xml:space="preserve">Defects GPS-27454 has been closed &amp; GPS-27455-Reopened, Broker Organizations created through CRM for validation </t>
  </si>
  <si>
    <t>UAT Regression_ Scenario-2(Vertical Pricing) Excecuted</t>
  </si>
  <si>
    <t>GPS-27073 - Account vs Policy Linkage - Testing Observations Session-1</t>
  </si>
  <si>
    <t>R26.15 defects retest in UAT environment</t>
  </si>
  <si>
    <t>4 major defects tested(GPS-26280,GPS-24955, GPS-23981,  GPS-23522)</t>
  </si>
  <si>
    <t xml:space="preserve">R1.2 CR's retested </t>
  </si>
  <si>
    <t xml:space="preserve">GPS-26167, GPS-23746 retested </t>
  </si>
  <si>
    <t>Automation Setup</t>
  </si>
  <si>
    <t>GPS-23746- Regression for demo readyness</t>
  </si>
  <si>
    <t>Tested 10 testcases</t>
  </si>
  <si>
    <t>GPS-26609 analised the userstory for test design</t>
  </si>
  <si>
    <t>Supported the creation of data for CR054</t>
  </si>
  <si>
    <t xml:space="preserve">Dialy stand up call &amp; EOD call </t>
  </si>
  <si>
    <t>3 scenarios  executed</t>
  </si>
  <si>
    <t>Data creation for Sapna Call</t>
  </si>
  <si>
    <t>created 5 Accounts in Test environment for the validation</t>
  </si>
  <si>
    <t xml:space="preserve">Reexecuted TEST scenario </t>
  </si>
  <si>
    <t>1 scenario</t>
  </si>
  <si>
    <t>Adhoc Testing in SIT2 Env</t>
  </si>
  <si>
    <t>Tested around Loqate (Address fields validation)</t>
  </si>
  <si>
    <t>Defects raised GPS-27151</t>
  </si>
  <si>
    <t>1 Defect raised</t>
  </si>
  <si>
    <t>Call with DEV regarding observations</t>
  </si>
  <si>
    <t>2 observations</t>
  </si>
  <si>
    <t>UAT Scenarios Execution and TEST steps designed and reviewed</t>
  </si>
  <si>
    <t>Executed 1 scenario and test designed for 2 UAT scenarios</t>
  </si>
  <si>
    <t>Call with DEV regarding GPS-27151</t>
  </si>
  <si>
    <t xml:space="preserve">Discussion on GPS-27151 and its replication with dev </t>
  </si>
  <si>
    <t>Retesting the R1.1.1 , R1.1.2defects in UAT</t>
  </si>
  <si>
    <t>Defects retesting with komala</t>
  </si>
  <si>
    <t>Backdated data Execution</t>
  </si>
  <si>
    <t>Checked PC to BC flow</t>
  </si>
  <si>
    <t>Jira clean up activity</t>
  </si>
  <si>
    <t>Overall test cases review and checking 26.02 dashboard for BC</t>
  </si>
  <si>
    <t>On Leave</t>
  </si>
  <si>
    <t xml:space="preserve">Unable to login to VDI tried multiple times and raised Service Ticket </t>
  </si>
  <si>
    <t xml:space="preserve">Backdated data creation </t>
  </si>
  <si>
    <t xml:space="preserve">Created data for Migrated polices Got MDA issue and struck createing 10 submissions </t>
  </si>
  <si>
    <t>Testing Demo user story readyness</t>
  </si>
  <si>
    <t>Creating data with help of manoj to test CR57 in SIT1 for demo readyness
Checked 2 scenarios</t>
  </si>
  <si>
    <t xml:space="preserve">Executed all the scenarios in GPS-24093 </t>
  </si>
  <si>
    <t>Executed all the listed scenarios given by wayne</t>
  </si>
  <si>
    <t xml:space="preserve">Connected with indu on CR56 calculation </t>
  </si>
  <si>
    <t>Connected on Cancellation calculation part from PC stand point</t>
  </si>
  <si>
    <t>Overall test cases review and Cleaning up the 26.02 dashboard for PC</t>
  </si>
  <si>
    <t>Migration renewal data creation</t>
  </si>
  <si>
    <t>Created Migrated policies to execute UW Controls</t>
  </si>
  <si>
    <t>Tested 2 scenarios for UW controls user story in GAPSTEST</t>
  </si>
  <si>
    <t>Tested 2 scenarios  GPS-26349, GPS-26350 for UW Controls story
Each Test case is having all transactions flow (NS/Rewrite/Policy Change)</t>
  </si>
  <si>
    <t xml:space="preserve">Meeting on Exception Report </t>
  </si>
  <si>
    <t>Raised Insight application Access</t>
  </si>
  <si>
    <t>Raised Insight application access with the help of Shanmukhi</t>
  </si>
  <si>
    <t>Madatory learnings and trainigs</t>
  </si>
  <si>
    <t>Completed trainings in Next</t>
  </si>
  <si>
    <t>Initial set up of automation tools and raised service ticket</t>
  </si>
  <si>
    <t>Conneceted with midhun and made initial setup and raised service ticket for GIT access</t>
  </si>
  <si>
    <t>Created Migrated policies to execute Regression scenarios</t>
  </si>
  <si>
    <t>Connected with shanmuki on agresso regression scenario explanation</t>
  </si>
  <si>
    <t>Connected with Anshu for the analysis of defects GPS-25867 &amp; GPS-25030</t>
  </si>
  <si>
    <t xml:space="preserve">Connecetd for clarifications on defects </t>
  </si>
  <si>
    <t xml:space="preserve">Manual Regression in GPSTEST </t>
  </si>
  <si>
    <t>Executed Regression scenario in GPASTEST</t>
  </si>
  <si>
    <t xml:space="preserve">Connected with manoj for the Invoice validation </t>
  </si>
  <si>
    <t xml:space="preserve">Invoice validation in TEST </t>
  </si>
  <si>
    <t xml:space="preserve">Validated 5 Documents </t>
  </si>
  <si>
    <t xml:space="preserve">Connected with Anshika for the Invoice queries </t>
  </si>
  <si>
    <t>Manual Regression in GPSTEST - Migrated renewal</t>
  </si>
  <si>
    <t>Connected with Ramakanth and anshu and took KT and prepared data in GPASTEST</t>
  </si>
  <si>
    <t>Raised defect GPS-27437</t>
  </si>
  <si>
    <t>Raised defect GPS-27437 after making sure it's behaviour in SIT1 &amp; UAT with the help of Komala &amp; Anshu</t>
  </si>
  <si>
    <t>Connected with manoj on the broker related selection in INSIGHT TEST</t>
  </si>
  <si>
    <t>Defect retest GPS-25030 In TEST environment</t>
  </si>
  <si>
    <t>Data creation for Defect retest and Regression Retest</t>
  </si>
  <si>
    <t>Defect GPS-27437 retested</t>
  </si>
  <si>
    <t>Defect GPS-27437 retested In SIT1,SIT2 and TEST environments</t>
  </si>
  <si>
    <t xml:space="preserve">Manual Regression in GPSTEST - Migrated renewal </t>
  </si>
  <si>
    <t>Data Creation for UAT regression execution</t>
  </si>
  <si>
    <t>Created Accounts for Regression execution</t>
  </si>
  <si>
    <t>Regression UAT Env - Contra Rewrite scenario</t>
  </si>
  <si>
    <t xml:space="preserve">Regression UAT Env - Migrated renewal </t>
  </si>
  <si>
    <t xml:space="preserve">Defects Analysis on the assigned 5 defects UAT environment </t>
  </si>
  <si>
    <t>Defect retest GPS-25611</t>
  </si>
  <si>
    <t>Defect retest GPS-25562</t>
  </si>
  <si>
    <t>Defect retest GPS-24910</t>
  </si>
  <si>
    <t>Defect retest GPS-24796</t>
  </si>
  <si>
    <t>Defect retest GPS-24768</t>
  </si>
  <si>
    <t>Connected with Shanmuki to get the understanding and calculation part on the defect</t>
  </si>
  <si>
    <t xml:space="preserve">Connected with Indu for the BC validations for the above defects </t>
  </si>
  <si>
    <t>GPS-23747 - CR 052: Risk Location Split in Cancellation and Reinstatements (Premium Only)</t>
  </si>
  <si>
    <t>Analysis on the GPS-23747 - CR 052</t>
  </si>
  <si>
    <t>Insight down</t>
  </si>
  <si>
    <t>Connected with Indu for the clarifications on GPS-23747</t>
  </si>
  <si>
    <t>Connected and got clarifications on GPS-23747 Queries</t>
  </si>
  <si>
    <t>Execution of GPS-23747 - CR 052: Risk Location Split in Cancellation and Reinstatements (Premium Only) in UAT</t>
  </si>
  <si>
    <t>Connected with Anshu on the Prod defect GS-193</t>
  </si>
  <si>
    <t xml:space="preserve">Connected with anshu and tried to replicate the prod issue </t>
  </si>
  <si>
    <t>Analyzed and Created data for few scenarios as asked by MDA for CR054</t>
  </si>
  <si>
    <t>Created data for CR054 asked by MDA team</t>
  </si>
  <si>
    <t>User Story GPS-26609 anlysis and authoring</t>
  </si>
  <si>
    <t>Analysis of GPS-26609 user story and planned test coverage and authoring</t>
  </si>
  <si>
    <t>Mandatory Trainings</t>
  </si>
  <si>
    <t>Test preparation completed for GPS-26609 User story</t>
  </si>
  <si>
    <t>Automation intial setup</t>
  </si>
  <si>
    <t>Github clone and initial basic setup</t>
  </si>
  <si>
    <t>Connected with Divya for broker data request</t>
  </si>
  <si>
    <t>Requested for Broker data as per scenarios to check valid flow</t>
  </si>
  <si>
    <t>Tested CR57 in SIT1 for Valid flow for demo readiness</t>
  </si>
  <si>
    <t>Tested CR57 valid flow with existing brokers</t>
  </si>
  <si>
    <t>Beazley Testing DSM</t>
  </si>
  <si>
    <t>Internal Automation Regression Review</t>
  </si>
  <si>
    <t>Regression defect retested in SIT2, TEST</t>
  </si>
  <si>
    <t>GPS-27099</t>
  </si>
  <si>
    <t>Discussion Call for Defect GPS-27051</t>
  </si>
  <si>
    <t>Prepared the credit Distribution checklist</t>
  </si>
  <si>
    <t xml:space="preserve">15 - Checklist </t>
  </si>
  <si>
    <t>Updated Regression Scenario</t>
  </si>
  <si>
    <t xml:space="preserve">08 - Scenario </t>
  </si>
  <si>
    <t>Executed the credit distribution checklist</t>
  </si>
  <si>
    <t>CM Regression - TEST</t>
  </si>
  <si>
    <t xml:space="preserve">05 - Test Cases/ 12 Checklist </t>
  </si>
  <si>
    <t>PC – BC data flow</t>
  </si>
  <si>
    <t xml:space="preserve">10 - Checklist </t>
  </si>
  <si>
    <t>Follow Up: Discussion Call for Defect GPS-27051</t>
  </si>
  <si>
    <t>Follower Up: Internal Automation Regression Review</t>
  </si>
  <si>
    <t>Updated the Automation Regression Sheet Based on the Input.</t>
  </si>
  <si>
    <t>07 - Test cases</t>
  </si>
  <si>
    <t>Prepared the Credit Distribution Test Cases and Uploaded Them to Jira.</t>
  </si>
  <si>
    <t>15 - Test cases</t>
  </si>
  <si>
    <t>Executed the Credit Distribution Test Cases - UAT</t>
  </si>
  <si>
    <t>Regression defect retested in UAT</t>
  </si>
  <si>
    <t>Jira Clean-Up for UAT &amp; TEST - Uploaded Evidences and Passed them</t>
  </si>
  <si>
    <t>GPS-27155(15 TC's) &amp; GPS-27153(15 TC's)</t>
  </si>
  <si>
    <t>Worked on defect GPS-27027 checklist</t>
  </si>
  <si>
    <t>GPS-27027</t>
  </si>
  <si>
    <t>CM and tax related defects: GPS-27051</t>
  </si>
  <si>
    <t>Retesting defect : GPS-27051</t>
  </si>
  <si>
    <t>GPS-27051</t>
  </si>
  <si>
    <t>Saturday</t>
  </si>
  <si>
    <t>Sunday</t>
  </si>
  <si>
    <t>Retested defect : GPS-27008</t>
  </si>
  <si>
    <t>GPS-27008 (7 Scenario's)</t>
  </si>
  <si>
    <t>Created Data for change due date</t>
  </si>
  <si>
    <t>On Rupesh Request created data (6 Policies)</t>
  </si>
  <si>
    <t>GPS-27151</t>
  </si>
  <si>
    <t>Review Invoice issue</t>
  </si>
  <si>
    <t>Document issue</t>
  </si>
  <si>
    <t>Had call with Vinith &amp; Prepared data for GPS-27051.</t>
  </si>
  <si>
    <t>BC demo prep (Automation Regression)</t>
  </si>
  <si>
    <t>Demo with Ninad/Vijay</t>
  </si>
  <si>
    <t>Prepared for an Automation Regression Demo</t>
  </si>
  <si>
    <t>Regression Sheet</t>
  </si>
  <si>
    <t>Regression Test Automation Review</t>
  </si>
  <si>
    <t>Demo with Victor</t>
  </si>
  <si>
    <t>Retested defect : GPS-27061</t>
  </si>
  <si>
    <t>GPS-27061 (4 Scenario's)</t>
  </si>
  <si>
    <t>Defect GPS-27008 - Closed</t>
  </si>
  <si>
    <t>GPS-27008 (2 Scenario's)</t>
  </si>
  <si>
    <t>Need to replicate the credit adjustment issue in SIT1</t>
  </si>
  <si>
    <t>Refer: YZ00FS2601BR- GPASTest / SIT1:GZ0CMH2601BR</t>
  </si>
  <si>
    <t>GPAS BillingCenter: Daily Stand-up</t>
  </si>
  <si>
    <t>Meeting with BC PO's</t>
  </si>
  <si>
    <t>Retested defect in SIT1</t>
  </si>
  <si>
    <t>GPS-26540 (10 Scenario's)</t>
  </si>
  <si>
    <t>Defect GPS-27061 - Closed</t>
  </si>
  <si>
    <t>GPS-27061</t>
  </si>
  <si>
    <t>Retested GPS-26782 : Issue 2 is Resolved</t>
  </si>
  <si>
    <t>GPS-26782 - Partially Fixed</t>
  </si>
  <si>
    <t>Reviewed and discussed the current OEP/Run behavior with Rupesh</t>
  </si>
  <si>
    <t>GPS-27326 (4 Scenario's)</t>
  </si>
  <si>
    <t>User Story GPS-27326 - OEP/Run Off - Any impact to BC, MDA and downstream processing</t>
  </si>
  <si>
    <t>Planning of Cross functional Training</t>
  </si>
  <si>
    <t>Exception Report</t>
  </si>
  <si>
    <t>UW Control</t>
  </si>
  <si>
    <t xml:space="preserve">2 Scenario's (4 Policies) </t>
  </si>
  <si>
    <t>Retested defect in TEST</t>
  </si>
  <si>
    <t>GPS-27008 (6 Scenario's)</t>
  </si>
  <si>
    <t>CM - Regression - TEST</t>
  </si>
  <si>
    <t>5 Test Cases / 12 CheckPoints</t>
  </si>
  <si>
    <t>Prepared for CR56 demo</t>
  </si>
  <si>
    <t>8 Scenario's</t>
  </si>
  <si>
    <t>CR56 - Demo</t>
  </si>
  <si>
    <t>Demo</t>
  </si>
  <si>
    <t>Test Data - Created as per Rupes request.</t>
  </si>
  <si>
    <t>5 Policies</t>
  </si>
  <si>
    <t>Defect GPS-26586 Retest in TEST</t>
  </si>
  <si>
    <t>GPS-26586 (6 Scenario's)</t>
  </si>
  <si>
    <t>Defect GPS-26540 Retest in TEST and closed</t>
  </si>
  <si>
    <t>GPS-26540 (9 Policies)</t>
  </si>
  <si>
    <t>Recreate the Portugues Stamp Duty issue in SIT1</t>
  </si>
  <si>
    <t>Reference Policy: GZ0CQU2601BB</t>
  </si>
  <si>
    <t>Log the new defect for Portuguese Stamp Duty in SIT1 and TEST</t>
  </si>
  <si>
    <t>GPS-27456</t>
  </si>
  <si>
    <t>Data Creation Request from Victor/Alejandro for CR56</t>
  </si>
  <si>
    <t>15 Policies ( NB + Policy change)</t>
  </si>
  <si>
    <t>Defect GPS-26781 Retest in TEST</t>
  </si>
  <si>
    <t>GPS-26781 (4 Scenario's)</t>
  </si>
  <si>
    <t>Defect GPS-26586 Retest in UAT</t>
  </si>
  <si>
    <t>GPS-26586 - Closed</t>
  </si>
  <si>
    <t>Defect GPS-26781 Retest in UAT</t>
  </si>
  <si>
    <t>GPS-26781 - Closed</t>
  </si>
  <si>
    <t>CM - UAT - Regression</t>
  </si>
  <si>
    <t>12 CheckPoints/ 5 Test cases</t>
  </si>
  <si>
    <t>GPS-27073 - Account vs Policy Linkage - Testing Observations - Session 1</t>
  </si>
  <si>
    <t>Testing BC cases 24023 - Support</t>
  </si>
  <si>
    <t>New defect logged for Label changes</t>
  </si>
  <si>
    <t>GPS-27513 (Rupesh) - Open</t>
  </si>
  <si>
    <t>Retest the defect in UAT</t>
  </si>
  <si>
    <t>GPS-26105 - Passed</t>
  </si>
  <si>
    <t>GPS-26087 - Passed</t>
  </si>
  <si>
    <t>GPS-25986 - Passed</t>
  </si>
  <si>
    <t>GPS-24419 - Passed</t>
  </si>
  <si>
    <t>GPS-23812 - Passed</t>
  </si>
  <si>
    <t>Defect GPS-27456 Retest in Test</t>
  </si>
  <si>
    <t>GPS-27456 - GZ01LY2601BB</t>
  </si>
  <si>
    <t>Testing Support to Andy/Alejandro</t>
  </si>
  <si>
    <t>Defect GPS-27456 Retest in UAT</t>
  </si>
  <si>
    <t>GPS-27456 - Closed</t>
  </si>
  <si>
    <t>Regression GPS-24023 in UAT</t>
  </si>
  <si>
    <t>GPS-24023 - Passed</t>
  </si>
  <si>
    <t>Regression GPS-23977 in UAT</t>
  </si>
  <si>
    <t>GPS-23977 - Passed</t>
  </si>
  <si>
    <t>Regression GPS-23973 in UAT</t>
  </si>
  <si>
    <t>GPS-23973 - Passed</t>
  </si>
  <si>
    <t xml:space="preserve">GPS-27025 - 16 Test cases / 8 AC </t>
  </si>
  <si>
    <t>2 Training completed</t>
  </si>
  <si>
    <t>GPS-27561</t>
  </si>
  <si>
    <t>Retesting defect GPS-26782 in SIT1</t>
  </si>
  <si>
    <t>GPS-26782</t>
  </si>
  <si>
    <t>Flat cancellation mapping discussion</t>
  </si>
  <si>
    <t>Prepare test cases for GPS-27025.</t>
  </si>
  <si>
    <t>GPS-27025 - 32 cases.</t>
  </si>
  <si>
    <t xml:space="preserve">Test Execution : GPS-27025  </t>
  </si>
  <si>
    <t>GPS-27025 - 10 out of 32 cases. 8 - Passed/2 - Failed</t>
  </si>
  <si>
    <t>Retested defect in SIT1 GPS-26142</t>
  </si>
  <si>
    <t>GPS-26142 - Re-opened ( YZ0CY92601PJ)</t>
  </si>
  <si>
    <t>Test Execution - GPS-26959</t>
  </si>
  <si>
    <t>GPS-26959 - 5 executed: 3 Passed &amp; 2 Failed - with Multi-transactions</t>
  </si>
  <si>
    <t>Logged defect GPS-27668</t>
  </si>
  <si>
    <t>GPS-27668 - Open</t>
  </si>
  <si>
    <t>Logged defect GPS-27669</t>
  </si>
  <si>
    <t>GPS-27669 - Open</t>
  </si>
  <si>
    <t>TEST scenario execution &amp; Test steps reviewed</t>
  </si>
  <si>
    <t>Explained one scenario to Tharun for execution during the call and reviewed the test steps for 1 scenario.</t>
  </si>
  <si>
    <t>data creation for defect BC(GPS-26139)</t>
  </si>
  <si>
    <t>2 policies created</t>
  </si>
  <si>
    <t>2 Scenarios Executed</t>
  </si>
  <si>
    <t xml:space="preserve">Backdated data execution PC -BC </t>
  </si>
  <si>
    <t>12 scenarios validated</t>
  </si>
  <si>
    <t>Discussion with the DEV team on observations</t>
  </si>
  <si>
    <t>for 2 Observations</t>
  </si>
  <si>
    <t>Defect raised GPS-27140</t>
  </si>
  <si>
    <t>1 Defect Raised</t>
  </si>
  <si>
    <t>UAT Scenarios Execution</t>
  </si>
  <si>
    <t>Call with DEV regarding GPS-27140</t>
  </si>
  <si>
    <t>To explain them the defect</t>
  </si>
  <si>
    <t>Consolidated scenarios to retest the defect GPS-27008</t>
  </si>
  <si>
    <t>4 scenarios consolidated</t>
  </si>
  <si>
    <t xml:space="preserve">45 min </t>
  </si>
  <si>
    <t xml:space="preserve">2 Defects </t>
  </si>
  <si>
    <t xml:space="preserve">3 Defects </t>
  </si>
  <si>
    <t>PC - BC Flow GPS-27027</t>
  </si>
  <si>
    <t>Executed  2 Scenarios (19&amp;20)</t>
  </si>
  <si>
    <t xml:space="preserve">Validated 13 Documents </t>
  </si>
  <si>
    <t xml:space="preserve">KT call </t>
  </si>
  <si>
    <t>On Invoice validation</t>
  </si>
  <si>
    <t>call with Anshika on cancellation invoice observation</t>
  </si>
  <si>
    <t>1 observation</t>
  </si>
  <si>
    <t xml:space="preserve">Leave </t>
  </si>
  <si>
    <t>Created 9 policies in SIT2 &amp; TEST</t>
  </si>
  <si>
    <t>Discussion on GPS-27140 with DEV</t>
  </si>
  <si>
    <t>Update on the issue</t>
  </si>
  <si>
    <t xml:space="preserve">KT on migrated renewals </t>
  </si>
  <si>
    <t xml:space="preserve">KT on how to create migrated policies from priyanka </t>
  </si>
  <si>
    <t xml:space="preserve">Creation of migrated policy </t>
  </si>
  <si>
    <t xml:space="preserve">Helped pavan on creation migrated data </t>
  </si>
  <si>
    <t xml:space="preserve">Mandatory Trainings </t>
  </si>
  <si>
    <t xml:space="preserve">Done mandatory Trainings </t>
  </si>
  <si>
    <t>CR56 Execution</t>
  </si>
  <si>
    <t>Executed cases and related calls regarding observations and updated JIRA</t>
  </si>
  <si>
    <t>Data creation for defect BC(GPS-26540)</t>
  </si>
  <si>
    <t xml:space="preserve">Created 4 policies </t>
  </si>
  <si>
    <t xml:space="preserve">GPAS Billing center dialy stand up </t>
  </si>
  <si>
    <t>Defect Restesting GPS-27140</t>
  </si>
  <si>
    <t>Retested the defect in SIT1</t>
  </si>
  <si>
    <t xml:space="preserve">Explained contra policy change scenarios </t>
  </si>
  <si>
    <t>Explained contra policy change scenario to midhun</t>
  </si>
  <si>
    <t xml:space="preserve">CR56 JIRA </t>
  </si>
  <si>
    <t>JIRA Clean up</t>
  </si>
  <si>
    <t>Migration renewal data creation and setting it up</t>
  </si>
  <si>
    <t>Taken help from shanmukhi for setting up migrated renewal</t>
  </si>
  <si>
    <t>UW controls story execution</t>
  </si>
  <si>
    <t xml:space="preserve">Executed 3 scenarios (GPS-26369 , GPS-26370, 26346) 2 are blocked with GPS-25385 and related calls </t>
  </si>
  <si>
    <t>NB run off Scenario</t>
  </si>
  <si>
    <t>Connected with Midhun on NB Run off for his clarification</t>
  </si>
  <si>
    <t xml:space="preserve">Explained UW control scenarios </t>
  </si>
  <si>
    <t>Explained contra policy change scenario to Tharun</t>
  </si>
  <si>
    <t>Gone through the steps to get initial set up of automation</t>
  </si>
  <si>
    <t>Gone through the steps provided by Susmita to get initial set up of automation</t>
  </si>
  <si>
    <t>BC team Stand up</t>
  </si>
  <si>
    <t>To discuss Demo scenarios GPS-24023</t>
  </si>
  <si>
    <t>GPS-24023 Exploratory testing</t>
  </si>
  <si>
    <t>Did exploratory testing GPS-24023</t>
  </si>
  <si>
    <t>Inital set up for automation</t>
  </si>
  <si>
    <t xml:space="preserve">Raised GIT HUB access with the help of midhun and created account,
Help Shanmukhi &amp; Priyanka to raise git hub access </t>
  </si>
  <si>
    <t xml:space="preserve">Regression TEST Env </t>
  </si>
  <si>
    <t>Executed Contra policy change scenarios</t>
  </si>
  <si>
    <t>CR 56 Demo</t>
  </si>
  <si>
    <t>CR 56 Testing &amp; Data preparation</t>
  </si>
  <si>
    <t>Created data and did one round of testing on total story for the demo</t>
  </si>
  <si>
    <t xml:space="preserve">Validated 6 Documents </t>
  </si>
  <si>
    <t>Explained contra policy change scenario</t>
  </si>
  <si>
    <t>Explained contra policy change scenario calculations to midhun</t>
  </si>
  <si>
    <t>Validated 12 invoice documents and updated the JIRA</t>
  </si>
  <si>
    <t>Explained contra policy change scenario calculations to Automation team and validated the scenarion</t>
  </si>
  <si>
    <t>Invoice validation KT</t>
  </si>
  <si>
    <t>Given KT to komala on Invoice validations</t>
  </si>
  <si>
    <t>Call with DEV</t>
  </si>
  <si>
    <t>DEV connected on the requirement</t>
  </si>
  <si>
    <t>Retested the defect Defect GPS-27425</t>
  </si>
  <si>
    <t xml:space="preserve">Retested the defect in TEST with Anshika </t>
  </si>
  <si>
    <t xml:space="preserve">Data Creation </t>
  </si>
  <si>
    <t>Data creation in UAT for PO's</t>
  </si>
  <si>
    <t xml:space="preserve">Back dated data execution PC -BC </t>
  </si>
  <si>
    <t>7 Scenarios validated</t>
  </si>
  <si>
    <t>Call regarding GPS-27425</t>
  </si>
  <si>
    <t xml:space="preserve">To cross check the functionolity </t>
  </si>
  <si>
    <t>BC team Stand up offshore</t>
  </si>
  <si>
    <t>Defect raised GPS-27506</t>
  </si>
  <si>
    <t xml:space="preserve">Defect raised and related calls with DEV </t>
  </si>
  <si>
    <t xml:space="preserve">Regression UAT Env </t>
  </si>
  <si>
    <t>Executed Contra Rewrite scenario and related calls</t>
  </si>
  <si>
    <t>Regression on credit distribution</t>
  </si>
  <si>
    <t>Executed 12 scenarios</t>
  </si>
  <si>
    <t xml:space="preserve">Connected on Taxes issue </t>
  </si>
  <si>
    <t xml:space="preserve">Connected with Anshika and clarified her issue </t>
  </si>
  <si>
    <t>Call with Automation team</t>
  </si>
  <si>
    <t>To clarify their issues</t>
  </si>
  <si>
    <t xml:space="preserve">R26.15 Defects retested in UAT </t>
  </si>
  <si>
    <t>5 Defects retested</t>
  </si>
  <si>
    <t>https://beazley.atlassian.net/browse/GPS-27539</t>
  </si>
  <si>
    <t xml:space="preserve">Regression GPS-24023 in UAT &amp; SIT1 </t>
  </si>
  <si>
    <t>6 scenarios validated</t>
  </si>
  <si>
    <t>Testsigma call</t>
  </si>
  <si>
    <t>Clarified doubts on GPS-23747</t>
  </si>
  <si>
    <t>Clarified pavan doubts on GPS-23747</t>
  </si>
  <si>
    <t>GPS-26959-User Story anlysis and authoring</t>
  </si>
  <si>
    <t>Authored 15 cases</t>
  </si>
  <si>
    <t xml:space="preserve">GPS-24023 JIRA clean up </t>
  </si>
  <si>
    <t>JIRA clean up for the story GPS-24023</t>
  </si>
  <si>
    <t>GPS-26959-User Story Test case authoring and Review</t>
  </si>
  <si>
    <t>GPS-27025 Exe</t>
  </si>
  <si>
    <t>16 execution and 1 data creation</t>
  </si>
  <si>
    <t>Backdated MDA issue checked in datadog over the call</t>
  </si>
  <si>
    <t xml:space="preserve">3 data </t>
  </si>
  <si>
    <t xml:space="preserve">Executed in call and explain tharun the flow of pc and bc </t>
  </si>
  <si>
    <t xml:space="preserve">2 created </t>
  </si>
  <si>
    <t>Checked the Flow for PC to BC into UAT env for invoice issue</t>
  </si>
  <si>
    <t>Checked the Flow for PC to BC into Dev env for invoice issue</t>
  </si>
  <si>
    <t>15 mins</t>
  </si>
  <si>
    <t>three scenario's exectuted</t>
  </si>
  <si>
    <t>BC Credit Distribution</t>
  </si>
  <si>
    <t>EOD QA Connect</t>
  </si>
  <si>
    <t>Daily standup call</t>
  </si>
  <si>
    <t>Executed 5 points</t>
  </si>
  <si>
    <t>data creation and done till quote</t>
  </si>
  <si>
    <t xml:space="preserve">Execution of flow from crm to pc  with different transcation </t>
  </si>
  <si>
    <t>Daily EOD call</t>
  </si>
  <si>
    <t>Tested Invoice documents in GPASETST for R1.1.3 Regression scenarios</t>
  </si>
  <si>
    <t>Tested 19 Invoice documents for R1.1.3 regression in GPASTEST</t>
  </si>
  <si>
    <t>Created one account for Agresso</t>
  </si>
  <si>
    <t>created account and done till issue and checked pc to bc flow</t>
  </si>
  <si>
    <t>Created three accounts and done till quote</t>
  </si>
  <si>
    <t>Invoice Validation KT call with Shanmuki</t>
  </si>
  <si>
    <t>Got KT from Shanmuki on how to validate invoice documents for Broker and Insured</t>
  </si>
  <si>
    <t xml:space="preserve">Coinsurance calculation clarification to Manoj &amp; Anshika and regarding clarification connected with sandeep for OEP </t>
  </si>
  <si>
    <t>Backdated data creation for migrated renewal</t>
  </si>
  <si>
    <t xml:space="preserve">created migrated renewal policy </t>
  </si>
  <si>
    <t xml:space="preserve">Migrated renewal training </t>
  </si>
  <si>
    <t>Got KT from Anshu reagrding migration creation</t>
  </si>
  <si>
    <t>Quality check gateway training</t>
  </si>
  <si>
    <t>Given KT to Anshu regarding Quality check gateway setup</t>
  </si>
  <si>
    <t>Defect retesting</t>
  </si>
  <si>
    <t>Created ML and cyber and done NB,MTA,Cancellation and resinstatement</t>
  </si>
  <si>
    <t>Jira Cleanup GPS-27112</t>
  </si>
  <si>
    <t>KT on migrated renewals to indu</t>
  </si>
  <si>
    <t>Given KT to Indu for migrated renewals</t>
  </si>
  <si>
    <t>Mandatory training</t>
  </si>
  <si>
    <t>50m</t>
  </si>
  <si>
    <t>Supported Sandeep with data creation for defect GPS-26540.</t>
  </si>
  <si>
    <t>created 4 polices</t>
  </si>
  <si>
    <t xml:space="preserve">Dialy BC Stand up call </t>
  </si>
  <si>
    <t>CR56 execution</t>
  </si>
  <si>
    <t xml:space="preserve">Connected with dev Penny issue defect </t>
  </si>
  <si>
    <t>Executed cases and updated JIRA</t>
  </si>
  <si>
    <t xml:space="preserve">Tested 2 scenarios  GPS-26351, GPS-26352 for UW Controls story which has 3 transactions in each </t>
  </si>
  <si>
    <t xml:space="preserve">Completed few of the mandatory trainings </t>
  </si>
  <si>
    <t>Raised GIT HUB access access with the help of midhun and created account</t>
  </si>
  <si>
    <t>Qulaity Gates Check for TEST environment</t>
  </si>
  <si>
    <t>Regression testing</t>
  </si>
  <si>
    <t xml:space="preserve">Executed 2 scenarios </t>
  </si>
  <si>
    <t>CRM data creation for sandeep</t>
  </si>
  <si>
    <t xml:space="preserve">CRM contact creation and staus changing </t>
  </si>
  <si>
    <t>Executed 4 check point for Defect GPS-27027</t>
  </si>
  <si>
    <t>GPS-27027 in GPASTEST env tested with 4 point</t>
  </si>
  <si>
    <t>Executed one scenario</t>
  </si>
  <si>
    <t>Prepared data for CR65 Demo</t>
  </si>
  <si>
    <t>Created data for Indu with multiple transcation 5 polices</t>
  </si>
  <si>
    <t>CR65 Demo call</t>
  </si>
  <si>
    <t>Team demo call</t>
  </si>
  <si>
    <t>Retested two defect in test and sit2 env and closed(GPS-26331 and GPS-26490)</t>
  </si>
  <si>
    <t>Tested Invoice documents in GPASETST for R26.15-23 Regression scenarios</t>
  </si>
  <si>
    <t>Invoice validation done and executed in jira</t>
  </si>
  <si>
    <t>GPS-26598 and GPS-25934</t>
  </si>
  <si>
    <t>Invoice validation support to komala</t>
  </si>
  <si>
    <t xml:space="preserve"> PC and BC</t>
  </si>
  <si>
    <t>GPS-25182-both ML and cyber</t>
  </si>
  <si>
    <t>Explored GetPaid Application for Payments</t>
  </si>
  <si>
    <t>Explored Getpaid application by going through the confluence page</t>
  </si>
  <si>
    <t xml:space="preserve">Dialy stand up call </t>
  </si>
  <si>
    <t>Data creation in UAT</t>
  </si>
  <si>
    <t xml:space="preserve">10 execution </t>
  </si>
  <si>
    <t xml:space="preserve">Dialy stand up  EOD call </t>
  </si>
  <si>
    <t>CM-UAT-Regression Support to sandeep</t>
  </si>
  <si>
    <t>Credit distribution</t>
  </si>
  <si>
    <t>PC to BC flow execution in GPASTUAT</t>
  </si>
  <si>
    <t>CR regression</t>
  </si>
  <si>
    <t>Test Sigma Assessment call and completed 2 Assessments</t>
  </si>
  <si>
    <t>Explored BC functionalities along with shanmuki</t>
  </si>
  <si>
    <t>Madatory learnings and trainings</t>
  </si>
  <si>
    <t>Executed CR51 in GPASTEST</t>
  </si>
  <si>
    <t>Automation intial setup call</t>
  </si>
  <si>
    <t>Executed CR-54 in TEST env</t>
  </si>
  <si>
    <t>9.25mins</t>
  </si>
  <si>
    <t>Daily standup and EOD status call</t>
  </si>
  <si>
    <t>Backdated data creation for R1.1.3</t>
  </si>
  <si>
    <t>Created 4 scenarios data</t>
  </si>
  <si>
    <t>Adhoc testing in SIT2 environment</t>
  </si>
  <si>
    <t>Executed 3 scenarios</t>
  </si>
  <si>
    <t>Validated R1.1.3 regression data in TEST and sent for Agresso load</t>
  </si>
  <si>
    <t>1:30mins</t>
  </si>
  <si>
    <t>Validated 13 scenarios which are relevant for Agresso load</t>
  </si>
  <si>
    <t>10 mins</t>
  </si>
  <si>
    <t>Backdated data execution in TEST</t>
  </si>
  <si>
    <t>Executed 5 scenarios</t>
  </si>
  <si>
    <t>Defects raised - GPS-27145, GPS-27148, GPS-27149</t>
  </si>
  <si>
    <t>45mins</t>
  </si>
  <si>
    <t>Raised 3 defects for 3 different issues</t>
  </si>
  <si>
    <t>9.30mins</t>
  </si>
  <si>
    <t>Executed 3 test cases</t>
  </si>
  <si>
    <t xml:space="preserve">UAT sceanrios observation discussion </t>
  </si>
  <si>
    <t>Explored BC Credit Distribution Scenarios</t>
  </si>
  <si>
    <t>Explored BC credit Distribution scenarios testing along with priyanka</t>
  </si>
  <si>
    <t>Executed 4 points PC BC flow 5-8 points</t>
  </si>
  <si>
    <t>Migrated Renewals policy creation</t>
  </si>
  <si>
    <t>Tested migrated policy and created few few reference numbers for migration</t>
  </si>
  <si>
    <t>Invoice Validation KT call with Anshika</t>
  </si>
  <si>
    <t>Got KT from Anshika on how to validate invoice documents for Broker and Insured</t>
  </si>
  <si>
    <t>Tested 13 Invoice documents for R1.1.3 regression in GPASTEST</t>
  </si>
  <si>
    <t>Call with Anshika on cancellation invoice observation</t>
  </si>
  <si>
    <t>Discussed an issue in cancellation invoice document with Anshika</t>
  </si>
  <si>
    <t>Invoice Validation KT call with Priyanka</t>
  </si>
  <si>
    <t>Given KT to Priyanka on how to validate invoice documents for Broker and Insured</t>
  </si>
  <si>
    <t>Tested 20 Invoice documents for R1.1.3 regression in GPASTEST</t>
  </si>
  <si>
    <t>Validated data for 2 secnarios as requested by MDA team</t>
  </si>
  <si>
    <t>Valiadated polcies data for 2 additional scenarios requested by MDA testing team and sent for Agresso load</t>
  </si>
  <si>
    <t>Connected with MDA testing team for Regression data validation</t>
  </si>
  <si>
    <t xml:space="preserve">Supported for validating Regression polcies data for MDA team </t>
  </si>
  <si>
    <t>Prepared Agresso checklists and shared with team members</t>
  </si>
  <si>
    <t>Prepared few points of checklists for agresso data creation and shared with the team</t>
  </si>
  <si>
    <t>9:50mins</t>
  </si>
  <si>
    <t>Regression additional 2 scenarios testcases designing</t>
  </si>
  <si>
    <t>Designed  2 scenarios testcases for downstream validations</t>
  </si>
  <si>
    <t xml:space="preserve">Backdated data craetion </t>
  </si>
  <si>
    <t>Created data for backddated scenarios</t>
  </si>
  <si>
    <t>Created data for Migrated renewals scenarios in SIT2 for Pavan</t>
  </si>
  <si>
    <t>Created data for Migarted renewals scenarios in SIT2 environment</t>
  </si>
  <si>
    <t xml:space="preserve">Validated R1.1.3 regression polcies in Agresso </t>
  </si>
  <si>
    <t>3.30mins</t>
  </si>
  <si>
    <t>Tested R1.1.3 regression 11 polices in Agresso</t>
  </si>
  <si>
    <t>Created profiles for MDA testers in GPAS TEST &amp; SIT1</t>
  </si>
  <si>
    <t>Created 4 users in both environments</t>
  </si>
  <si>
    <t>Created defect for Regression policy issue in Agresso</t>
  </si>
  <si>
    <t>20 mins</t>
  </si>
  <si>
    <t>Created a defect for an Agresso issue</t>
  </si>
  <si>
    <t xml:space="preserve">Discussed and Analyzed Agresso Defect with Vijay </t>
  </si>
  <si>
    <t>Discussed Agresso issue with Vijay and analysed data in TEST and LES extracts</t>
  </si>
  <si>
    <t>Captured evidences and attached for all validated Agresso regression polices</t>
  </si>
  <si>
    <t xml:space="preserve">Captured and attached evidences for R1.1.3 downstream regression polices in Jira </t>
  </si>
  <si>
    <t>Retested defect GPS-26744 in SIT1</t>
  </si>
  <si>
    <t xml:space="preserve">Retested the defect </t>
  </si>
  <si>
    <t>Created test data for defect GPS-27333</t>
  </si>
  <si>
    <t>Created test data ad sent to downsteams</t>
  </si>
  <si>
    <t>Given KT to Komala regarding Quality check gateway setup</t>
  </si>
  <si>
    <t>9.15mins</t>
  </si>
  <si>
    <t>Given KT call to Indu on Migration renewal data creation and setting it up</t>
  </si>
  <si>
    <t>40 mins</t>
  </si>
  <si>
    <t xml:space="preserve">Provided KT call to indu on Migrated Renewals </t>
  </si>
  <si>
    <t>4.30mins</t>
  </si>
  <si>
    <t xml:space="preserve">Tested 2 scenarios  GPS-26353, GPS-26354 for UW Controls story which has 3 transactions in each </t>
  </si>
  <si>
    <t>Tested a policy in Agresso and closed defect GPS-27333</t>
  </si>
  <si>
    <t>20mins</t>
  </si>
  <si>
    <t>Validated a polciy in Agresso for Runoff scenario as part of regression and closed defect GPS-27333</t>
  </si>
  <si>
    <t>Created data for MDA team for defect GPS-24416</t>
  </si>
  <si>
    <t>45 mins</t>
  </si>
  <si>
    <t>Created data for defect validation for MDA team</t>
  </si>
  <si>
    <t xml:space="preserve">Planning of Cross functional training </t>
  </si>
  <si>
    <t>Discuused over a call on cross functional training with deepika and other team members</t>
  </si>
  <si>
    <t>Guided Pavan and Indu on raising Insight application access</t>
  </si>
  <si>
    <t>Guided Pavan and Indu in raising acces for Insight application access</t>
  </si>
  <si>
    <t xml:space="preserve">Tried creating Migrated renrewals with synergy polices </t>
  </si>
  <si>
    <t>Tried with creating multiple references numbers for migrated renewals</t>
  </si>
  <si>
    <t>Validated all the regression scenarios and finalised the relevant Agresso cases</t>
  </si>
  <si>
    <t>Validated Agresso cases from regression scenarion by confirming with Vijay</t>
  </si>
  <si>
    <t>Executed 26.15 regression scenario</t>
  </si>
  <si>
    <t>Tetsed coinsurance scenario for 26.15 regression</t>
  </si>
  <si>
    <t>Created data for BC Manual payment scenarios and shared with MDA team</t>
  </si>
  <si>
    <t>Rested defect GPS-26744 in GPASTEST</t>
  </si>
  <si>
    <t>Retested the defect in GPASTEST GPS-26744</t>
  </si>
  <si>
    <t>Reviewed and validated Agresso data from 26.15 regression along with Vijay</t>
  </si>
  <si>
    <t>Validated and reviwed Agresso data along with Vijay</t>
  </si>
  <si>
    <t>Installed and Raised access for Github</t>
  </si>
  <si>
    <t>Designed 2 scenario as part of BC Manual payment</t>
  </si>
  <si>
    <t>Desgned testcases for 2 scenarios as part on BC manual payment validations</t>
  </si>
  <si>
    <t>Maually created 2 scenarios data from 26.15 regression for downstreams</t>
  </si>
  <si>
    <t>1.30mins</t>
  </si>
  <si>
    <t>Created data for 2 scenarios data from 26.15 regression for downstreams</t>
  </si>
  <si>
    <t>Discussed with automation team on incorrect data used for regression for downstreams</t>
  </si>
  <si>
    <t>Call with Ramakanth and Waiz regarding regression data for downstreams</t>
  </si>
  <si>
    <t>Validated all the regression scenarios and sent for downstream validations</t>
  </si>
  <si>
    <t>Validalated all regression scenarios data and sent for Downstream validations</t>
  </si>
  <si>
    <t>Call with Vijay on Downstream observations</t>
  </si>
  <si>
    <t>Discussed regarding the Downstream observations with vijay</t>
  </si>
  <si>
    <t>Tested Invoice documents in GPASETST for 26.15 Regression scenarios</t>
  </si>
  <si>
    <t>Tested 12 Invoice documents for 26.15 regression in GPASTEST</t>
  </si>
  <si>
    <t>Tested all Agresso loaded policies</t>
  </si>
  <si>
    <t>Tested and validated 8 regression polcies loaded in Agresso sys and uploaded in Jira</t>
  </si>
  <si>
    <t>Created data for Coinsurance OEP scenario for defect GPS-25729</t>
  </si>
  <si>
    <t>Created data for one of the Regression scenario for MDA defect GPS-25729 in GPASTEST</t>
  </si>
  <si>
    <t>Created data for cancellation scenarios as requested by MDA team</t>
  </si>
  <si>
    <t>Created data in GPASTEST for Flat and Pro-rata cancellations scenarios as requested by MDA team</t>
  </si>
  <si>
    <t>Created data for defect GPS-26589 and shared with MDA team</t>
  </si>
  <si>
    <t>Created different combinations data for the defect GPS-26589 in GPASTESST</t>
  </si>
  <si>
    <t>Explained Agresso checklists to Automation team</t>
  </si>
  <si>
    <t>Explained all the Agresso checklists to Automation team</t>
  </si>
  <si>
    <t>Drafted few of the scenarios for Agresso to BC flow scenarios</t>
  </si>
  <si>
    <t xml:space="preserve">Designed in highlevel scenarios for Agresso to BC flow </t>
  </si>
  <si>
    <t>Executed Back dated data execution in GPASTSIT2 and GPASTEST</t>
  </si>
  <si>
    <t>Executed 6 backdated scenarios in both SIT2 and TEST</t>
  </si>
  <si>
    <t xml:space="preserve">Validated few scenarios from Agresso </t>
  </si>
  <si>
    <t>2.30mins</t>
  </si>
  <si>
    <t>Validated 4 polices in Agresso as part of 26.15 release regression</t>
  </si>
  <si>
    <t>Discussed regarding an observation in Agresso for 1 scenarios with Vijay and Jorge</t>
  </si>
  <si>
    <t>Discussed regarding the Agresso observations for one scenario with vijay and Jorge</t>
  </si>
  <si>
    <t>Call with Amit Kumar regarding a defect in polciy control report</t>
  </si>
  <si>
    <t>Connect with Amit Kumar regarding a defect GPS-26943 from Policy control report</t>
  </si>
  <si>
    <t>Quality Gates checks in gpastest</t>
  </si>
  <si>
    <t xml:space="preserve">Run Quality Gate Checks in GPASTEST </t>
  </si>
  <si>
    <t>Searched all the regression polices in Redcube report and had a discussion with Vijay on not founding</t>
  </si>
  <si>
    <t>Searched all the regression polices in Redcube report and had a discussion with Vijay on not founding those</t>
  </si>
  <si>
    <t>Discussed with Vijay regarding Quality gates</t>
  </si>
  <si>
    <t xml:space="preserve">Had a call with Vijay on Quality gates for Release brach </t>
  </si>
  <si>
    <t xml:space="preserve">Analysed the defect GPS-27145 and provided required data/information </t>
  </si>
  <si>
    <t>Analysed GPS-27145 and provided required data in that defect</t>
  </si>
  <si>
    <t>Validated  26.15 regression polcies in Redcube report</t>
  </si>
  <si>
    <t>Validated regression polices in Redcube report</t>
  </si>
  <si>
    <t>Created couple of polcies for BC Manual Payment</t>
  </si>
  <si>
    <t>Created few polices for BC manual payment</t>
  </si>
  <si>
    <t>Created few cacellations polcies as asked by MDA team</t>
  </si>
  <si>
    <t>Created few polices for cancellation CR as asked by MDA team</t>
  </si>
  <si>
    <t>Tested defects GPS-26596, GPS-26598 in GPASUAT</t>
  </si>
  <si>
    <t>Tested defects in GPASTUAT</t>
  </si>
  <si>
    <t xml:space="preserve">Logged a new defect GPS_27524 for Redcube report data issue in regression </t>
  </si>
  <si>
    <t>Created new defect for redcube report regression data issue</t>
  </si>
  <si>
    <t>PC to BC flow execution in GPASTEST</t>
  </si>
  <si>
    <t>Tested PC&amp;BC flow scenarios in GPASUAT.</t>
  </si>
  <si>
    <t>Tested defects GPS-26996, GPS-26810,GPS-26744, GPS-25739 &amp; GPS-25619 in GPASUAT</t>
  </si>
  <si>
    <t>Retested defects in GPASUAT</t>
  </si>
  <si>
    <t>Connected with Amit for data asked by MDA team</t>
  </si>
  <si>
    <t>Call with Amit for CR-54 data creation</t>
  </si>
  <si>
    <t>Analysed and updated test scenarios for CR-54 as per scenarios for downstream validations</t>
  </si>
  <si>
    <t>Updated few scenarios as per downstream validations</t>
  </si>
  <si>
    <t>Call with Vijay on how to prepare future lob's and cob's list documents</t>
  </si>
  <si>
    <t xml:space="preserve">Connected with Vijay </t>
  </si>
  <si>
    <t>Prepared cob codes lists for future lob's</t>
  </si>
  <si>
    <t>Prepared document for list of cob codes</t>
  </si>
  <si>
    <t>Attended call and completed assessments of Test Sigma</t>
  </si>
  <si>
    <t>Created 2 scenarios data for defect GPS-27537</t>
  </si>
  <si>
    <t>Created and explored data for 2 scenarios for defect</t>
  </si>
  <si>
    <t>Created data for defect GPS-23619</t>
  </si>
  <si>
    <t>Created defect data as asked by MDA team</t>
  </si>
  <si>
    <t>Expained Test Sigma Assessment to few team members</t>
  </si>
  <si>
    <t>Explained Testsigma assesssment</t>
  </si>
  <si>
    <t>Analysed upcoming Agresso to BC userstories GPS-14410
GPS-14411</t>
  </si>
  <si>
    <t>Went through the Agresso to BC userstories</t>
  </si>
  <si>
    <t>Created data for few scenarios for defect GPS-23619</t>
  </si>
  <si>
    <t>Created data for few scenarios for defect</t>
  </si>
  <si>
    <t>Connected with Amit and Paulami for MDA data creation</t>
  </si>
  <si>
    <t>Connected with MDA team for data creation</t>
  </si>
  <si>
    <t>Validated data for CR054 and sent to MDA team</t>
  </si>
  <si>
    <t>Verified data for CR054 and send to MDA team</t>
  </si>
  <si>
    <t>Explored BC functionalities along with Priyanka</t>
  </si>
  <si>
    <t>Explored BC functionalities and transactions</t>
  </si>
  <si>
    <t>Created data for Prod Issue GPS-27561</t>
  </si>
  <si>
    <t>Created data in GPASTEST by replicating PROD policy</t>
  </si>
  <si>
    <t>Explained CR051 execution to the few team members</t>
  </si>
  <si>
    <t>Connected with team for CR051</t>
  </si>
  <si>
    <t>Executed CR051 E2E in GPASTEST</t>
  </si>
  <si>
    <t>Executed CR)51 in GPASTEST</t>
  </si>
  <si>
    <t>Added new scenarios to CR051 along with Vijay and Sandeep</t>
  </si>
  <si>
    <t>Added new scenarios for CR051</t>
  </si>
  <si>
    <t>Connected with vijay on Prod defect GPS-27561 and analysed future reports</t>
  </si>
  <si>
    <t>Discussed and Analysed PROD defect and upcoming reports</t>
  </si>
  <si>
    <t>Call with Automation team for initial setup</t>
  </si>
  <si>
    <t>Call with Amit and Paulami on data creation for GPS-27399 &amp; GPS-27401</t>
  </si>
  <si>
    <t>Connected with MDA team for 2 US data creation</t>
  </si>
  <si>
    <t>9.10mins</t>
  </si>
  <si>
    <t>Created data for Userstory GPS-27401</t>
  </si>
  <si>
    <t>Created 2 polices as asked by MDA team</t>
  </si>
  <si>
    <t>Designed testcases for CR-51 new scenarios</t>
  </si>
  <si>
    <t>Designed 10 E2E testcases</t>
  </si>
  <si>
    <t>Designed testcases for CR-54 new scenarios</t>
  </si>
  <si>
    <t>Designed 7 E2E testcases</t>
  </si>
  <si>
    <t>Validated 2 polices in Agresso as part of CR-51</t>
  </si>
  <si>
    <t xml:space="preserve">Tested 2 polices in Agresso </t>
  </si>
  <si>
    <t>Had a call with Vijay regarding the Agresso validations and new test scenarios scope for CR-51 &amp; CR-54 cyber scope</t>
  </si>
  <si>
    <t>Discussed Agresso validations and cyber scope scenarios for CR-51 &amp; CR-54</t>
  </si>
  <si>
    <t>KT call from Automation team on Setup, Playright installations and exection of a scenario</t>
  </si>
  <si>
    <t>KT calls from Automation team</t>
  </si>
  <si>
    <t xml:space="preserve">Validated CR-54 polices are loaded in Agresso </t>
  </si>
  <si>
    <t>Highlevel validation on CR-54 6 loaded polcies</t>
  </si>
  <si>
    <t>Validated 6 Polcies from CR-54 in Agresso by taking evidences</t>
  </si>
  <si>
    <t>Validated 6 Polcies from CR-54 in Agresso</t>
  </si>
  <si>
    <t>Connected with Anshu on uploading testcases in Jira</t>
  </si>
  <si>
    <t>Connected with Anshu on Jira uploading errors</t>
  </si>
  <si>
    <t>Connnected with Vijay on finalising 26.16 Agresso Regression cases</t>
  </si>
  <si>
    <t>Connected with Vijay and finalised 26.16 Agresso regresso cases</t>
  </si>
  <si>
    <t>Uploaded 15 testcases to Jira from CR51 &amp; CR54</t>
  </si>
  <si>
    <t>Uploaded 15 TC's in Jira</t>
  </si>
  <si>
    <t>Executed 5 TC's from CR-54 and sent to downstream validations</t>
  </si>
  <si>
    <t>3.45mins</t>
  </si>
  <si>
    <t>Executed 5 Testcases from CR51 &amp; CR54</t>
  </si>
  <si>
    <t xml:space="preserve">E2E scenario demo prep </t>
  </si>
  <si>
    <t xml:space="preserve">BC Common functionality </t>
  </si>
  <si>
    <t>Invoice doc download and Renaming-Automation script build</t>
  </si>
  <si>
    <t>Its common scripting where we can use for all test cases</t>
  </si>
  <si>
    <t>Working on UAT test case scripting</t>
  </si>
  <si>
    <t>1 e2e test case, New submission</t>
  </si>
  <si>
    <t>Daily QA connect, Beazley Offshore Daily Standup
QA standup by EOD, Automation stand up</t>
  </si>
  <si>
    <t>E2E scenario demo prep and showcasing</t>
  </si>
  <si>
    <t>BC Common functionality -Update</t>
  </si>
  <si>
    <t>Populating UI values and writing into excel sheet-scripting part</t>
  </si>
  <si>
    <t>Working on scripting</t>
  </si>
  <si>
    <t>GPASTEST Regression - Premium Impact</t>
  </si>
  <si>
    <t>1 test case</t>
  </si>
  <si>
    <t>UAT TEST case scripting and debugging</t>
  </si>
  <si>
    <t>Populating UI values and writing into excel sheet-scripting part--Enhancements</t>
  </si>
  <si>
    <t>All transaction data
Submission
policy change
Rewrite</t>
  </si>
  <si>
    <t>AWS foundation training</t>
  </si>
  <si>
    <t>training</t>
  </si>
  <si>
    <t>demo prep and updating BC policy details screen</t>
  </si>
  <si>
    <t>Cyber estimation and effort calcualtion</t>
  </si>
  <si>
    <t>checking US automation status and updation of script</t>
  </si>
  <si>
    <t>e2e demo to client call(prep and call)</t>
  </si>
  <si>
    <t>BC screen validation</t>
  </si>
  <si>
    <t>BC screen validation new scripts added(Details and summary)</t>
  </si>
  <si>
    <t>Added new scripts as a part of BC validation</t>
  </si>
  <si>
    <t>CR-57  and call with integ team</t>
  </si>
  <si>
    <t>analysation on test cases and had call with integ team to understand broker update</t>
  </si>
  <si>
    <t>Pulling policy data into excel(with coinsurance)</t>
  </si>
  <si>
    <t>BC screen validation new scripts added(coinsurance--Still in progress)</t>
  </si>
  <si>
    <t>Working on SIT1 Regression</t>
  </si>
  <si>
    <t>Making chnages as per sit1 code base</t>
  </si>
  <si>
    <t>working on sit1 code base</t>
  </si>
  <si>
    <t>Coinsurance scenario update(Without vertical)</t>
  </si>
  <si>
    <t>UAT TEST case scripting and AI training</t>
  </si>
  <si>
    <t>some mismatches in steps provided by manual team, needs to connect</t>
  </si>
  <si>
    <t>Regression testing-Invoice docs generate</t>
  </si>
  <si>
    <t>Genearating the documents for all automated scenarios</t>
  </si>
  <si>
    <t>AWS Training</t>
  </si>
  <si>
    <t>Training</t>
  </si>
  <si>
    <t>Updating jira with test cases</t>
  </si>
  <si>
    <t>making some common steps changes</t>
  </si>
  <si>
    <t>CC Login page changes</t>
  </si>
  <si>
    <t>Need to automate the policy retrieval</t>
  </si>
  <si>
    <t>working on scripting ,merging and resolving conflicts</t>
  </si>
  <si>
    <t>to merge conflicts</t>
  </si>
  <si>
    <t>Connected managers session</t>
  </si>
  <si>
    <t>Copilot in daily use</t>
  </si>
  <si>
    <t>retrieving policies</t>
  </si>
  <si>
    <t>started with vertical pricing</t>
  </si>
  <si>
    <t>Again reworking on scripting from scratch</t>
  </si>
  <si>
    <t>regresssion testing in UAT</t>
  </si>
  <si>
    <t>4test case- 2 scenarios(Had some VDI issue)</t>
  </si>
  <si>
    <t>Downlaoding invoice doc</t>
  </si>
  <si>
    <t>For all automated test cases</t>
  </si>
  <si>
    <t>Updating jira</t>
  </si>
  <si>
    <t>working on backdated data</t>
  </si>
  <si>
    <t>working on scripting for backdated data</t>
  </si>
  <si>
    <t>3 sc done</t>
  </si>
  <si>
    <t xml:space="preserve">Uat CC retrieving claims ran some scenario and updated code </t>
  </si>
  <si>
    <t>Copilot usage in automation</t>
  </si>
  <si>
    <t>Working on cyber script update</t>
  </si>
  <si>
    <t>Testsigma certification course</t>
  </si>
  <si>
    <t>Automation Initial Set up for team</t>
  </si>
  <si>
    <t>QA connect</t>
  </si>
  <si>
    <t>connected with tester for clarification some functionality</t>
  </si>
  <si>
    <t>Automation Initial Set up for team-resolving issues</t>
  </si>
  <si>
    <t>10 test cases are completed</t>
  </si>
  <si>
    <t>24/07/2026</t>
  </si>
  <si>
    <t>13 test cases are completed</t>
  </si>
  <si>
    <t>aggresso test case update call</t>
  </si>
  <si>
    <t>github copilot advantages call</t>
  </si>
  <si>
    <t xml:space="preserve">GPASTEST Regression </t>
  </si>
  <si>
    <t xml:space="preserve">R1GS016 UAT Scenario </t>
  </si>
  <si>
    <t xml:space="preserve">R1GS014 UAT Scenario </t>
  </si>
  <si>
    <t xml:space="preserve">R1GS036 UAT Scenario </t>
  </si>
  <si>
    <t>R1GS036 demo prep and showcasing</t>
  </si>
  <si>
    <t>Scripting for adding 20 risk locations</t>
  </si>
  <si>
    <t>Scripting for adding 20 tax locations</t>
  </si>
  <si>
    <t>Daily QA connect,  Daily Standup
QA standup by EOD, Automation stand up</t>
  </si>
  <si>
    <t>2 test case</t>
  </si>
  <si>
    <t>UAT TEST - Migrated Renewals</t>
  </si>
  <si>
    <t>CR 50 - Analysis</t>
  </si>
  <si>
    <t>connected wih the Manual team for KT</t>
  </si>
  <si>
    <t>Code Push</t>
  </si>
  <si>
    <t xml:space="preserve">CR 50 - scripting </t>
  </si>
  <si>
    <t>Scripting code for UAT test case</t>
  </si>
  <si>
    <t xml:space="preserve">UAT regression </t>
  </si>
  <si>
    <t>making changes in sit as per sit1 env</t>
  </si>
  <si>
    <t>UAT Regression TC</t>
  </si>
  <si>
    <t>Scripting for migrated renewls TC</t>
  </si>
  <si>
    <t>new submissions</t>
  </si>
  <si>
    <t>created new submissions from insight</t>
  </si>
  <si>
    <t>UAT Regression execution</t>
  </si>
  <si>
    <t xml:space="preserve">Executed 4 scenarios </t>
  </si>
  <si>
    <t xml:space="preserve">Cr 50 scripting </t>
  </si>
  <si>
    <t xml:space="preserve">copilet meeting </t>
  </si>
  <si>
    <t>working on scripting for gps-23973</t>
  </si>
  <si>
    <t>test and uat account creation</t>
  </si>
  <si>
    <t>GPASTEST Regression - OEP</t>
  </si>
  <si>
    <t>Execution done for 2 TCs</t>
  </si>
  <si>
    <t>OEP Final UAT Scenario-OEP</t>
  </si>
  <si>
    <t>Scripting of 1/3 TCs</t>
  </si>
  <si>
    <t>ISTQB Training</t>
  </si>
  <si>
    <t xml:space="preserve">CG training </t>
  </si>
  <si>
    <t xml:space="preserve">Connected for DSUs and Status update </t>
  </si>
  <si>
    <t>UAT Regression execution - OEP Detailed Smoke</t>
  </si>
  <si>
    <t>Sriptig for 2/3 TCs</t>
  </si>
  <si>
    <t>Scripting for the last Test Case</t>
  </si>
  <si>
    <t>OEP Final UAT Scenario-OEP - Complete</t>
  </si>
  <si>
    <t xml:space="preserve">Completed </t>
  </si>
  <si>
    <t>OEP Final UAT Scenario- Runoff - Complete</t>
  </si>
  <si>
    <t>Runoff steps modified</t>
  </si>
  <si>
    <t>UAT Scenario-Rewrite - steps rearranged &amp; new steps added</t>
  </si>
  <si>
    <t>Analyzing the TCs and examples</t>
  </si>
  <si>
    <t>Team Meetings and 1 on 1</t>
  </si>
  <si>
    <t>OEP Final UAT Scenario- Runoff/OEP - UAT check</t>
  </si>
  <si>
    <t>Running in UAT env for script sanity</t>
  </si>
  <si>
    <t>UAT Scenario - Contra Rewrite- steps added with code</t>
  </si>
  <si>
    <t>Scripted for 2 TCs except Vertical Pricing</t>
  </si>
  <si>
    <t xml:space="preserve">Team Meetings </t>
  </si>
  <si>
    <t>Connected with the team for KT and code share</t>
  </si>
  <si>
    <t>AUtomation team connect for code sharing</t>
  </si>
  <si>
    <t>UAT Scenario - Contra Rewrite-</t>
  </si>
  <si>
    <t>Scripting for 3 TCs</t>
  </si>
  <si>
    <t>UAT Scenario Execution- OEP</t>
  </si>
  <si>
    <t>Executed in GPASSIT1</t>
  </si>
  <si>
    <t>UAT Scenario Execution- OEP &amp; rUNOFF</t>
  </si>
  <si>
    <t>Execution in progress on GPASTEST</t>
  </si>
  <si>
    <t>Connected for DSUs, Standup and 1-1</t>
  </si>
  <si>
    <t>Execution in progress on GPASTEST - Executed both</t>
  </si>
  <si>
    <t>Commit and merge conflict resolution</t>
  </si>
  <si>
    <t>UAT Execution</t>
  </si>
  <si>
    <t>Starting UAT execution</t>
  </si>
  <si>
    <t>Emerging Leaders pathway- CG training</t>
  </si>
  <si>
    <t>L&amp;D</t>
  </si>
  <si>
    <t>Execution in progress on GPASTEST - 2/4 TCs Completed</t>
  </si>
  <si>
    <t>Execution in progress on UAT- 2/4 TCs Completed</t>
  </si>
  <si>
    <t>Execution Completed- UAT</t>
  </si>
  <si>
    <t>Code push</t>
  </si>
  <si>
    <t>Scripting for Cyber update</t>
  </si>
  <si>
    <t>CR-56 Scripting</t>
  </si>
  <si>
    <t>Scripting</t>
  </si>
  <si>
    <t>Co-pilot Meeting</t>
  </si>
  <si>
    <t>Copilot discussion</t>
  </si>
  <si>
    <t>CR-54</t>
  </si>
  <si>
    <t>Feature file geneartion and scripting</t>
  </si>
  <si>
    <t>Smoke Test Execution in Dev2,Sit2,Test,UAT</t>
  </si>
  <si>
    <t>Executed all 13 MP's in 4 different envs by mking script update and quick execution</t>
  </si>
  <si>
    <t>Smoke Test Execution in Dev,Sit1</t>
  </si>
  <si>
    <t>Executed all 13 MP's in 2 different envs with different build in it</t>
  </si>
  <si>
    <t>Smoke Detail Execution</t>
  </si>
  <si>
    <t>Executed 4 smoke detail scenario NB runoff ,Runoff,Contra Policy Change</t>
  </si>
  <si>
    <t>Smoke Detail Execution in UAT</t>
  </si>
  <si>
    <t>Executed 9 smoke detail scenario NB runoff ,Runoff,Contra Policy Change and core BC flows</t>
  </si>
  <si>
    <t>UW Controls UAT Scripting and scenario</t>
  </si>
  <si>
    <t>Scripted 20 percent of scenario</t>
  </si>
  <si>
    <t>UW Control UAT Regression Execution</t>
  </si>
  <si>
    <t>Executed 2 testcases as part of UW Controls UAT Scenario</t>
  </si>
  <si>
    <t>Smoke Test Execution in Dev</t>
  </si>
  <si>
    <t>Updated and Executed all 13 MP's in dev env as per latest build</t>
  </si>
  <si>
    <t>UW Controls UAT Scripting as per updated scenario</t>
  </si>
  <si>
    <t>Previous scenarios were removed and added new scenario scripting in progress(40 %)</t>
  </si>
  <si>
    <t>Executed 1 testcase as part of UW Controls UAT Scenario</t>
  </si>
  <si>
    <t>Smoke Test Script Modificatio in Dev</t>
  </si>
  <si>
    <t xml:space="preserve">Updated and started execution later put on hold </t>
  </si>
  <si>
    <t>UW rationale catch Up</t>
  </si>
  <si>
    <t>Attended it for UW Rationale and UW Controls info</t>
  </si>
  <si>
    <t>Previous scenarios were removed and added  two new scenarios scripting in progress(90 %)</t>
  </si>
  <si>
    <t>Cyber Automation Estimation Meeting</t>
  </si>
  <si>
    <t>Estimated time and effort for automation</t>
  </si>
  <si>
    <t>Updating UW Scenario Meeting</t>
  </si>
  <si>
    <t>onnected with manual tester and updated scenarios in sheet</t>
  </si>
  <si>
    <t xml:space="preserve">Contra policy change scripting </t>
  </si>
  <si>
    <t>Completed 10 % scripting</t>
  </si>
  <si>
    <t>Retested and closed a defect</t>
  </si>
  <si>
    <t>Retested and closed GPS-27113 defect</t>
  </si>
  <si>
    <t>Opened 2 issues in defect in GPS-27332</t>
  </si>
  <si>
    <t>Connected with dev and manual tester and expalined the issue</t>
  </si>
  <si>
    <t>Completed UAT UW Controls scripting as per SIT1 env</t>
  </si>
  <si>
    <t>Completed 100% scripting</t>
  </si>
  <si>
    <t>Completed 30% scripting</t>
  </si>
  <si>
    <t>Snowflake Setup</t>
  </si>
  <si>
    <t>Connected for Snowflake Setup</t>
  </si>
  <si>
    <t>Contra Policy Change Functional KT</t>
  </si>
  <si>
    <t>Connected with manual team for KT</t>
  </si>
  <si>
    <t>Smoke Test, Smoke Detail Execution in GPASSIT1</t>
  </si>
  <si>
    <t>Contra Policy  Change UAT Scripting and scenario flow understanding</t>
  </si>
  <si>
    <t>Connected with manual team for KT as flow is unclear in sheet</t>
  </si>
  <si>
    <t>Retested and closed GPS-27332</t>
  </si>
  <si>
    <t xml:space="preserve">Retested and reopened new issue on GPS-27332 </t>
  </si>
  <si>
    <t>Smoke Test, Smoke Detail Execution in GPASSIT2,GPASTEST</t>
  </si>
  <si>
    <t>automation setup KT to manual team</t>
  </si>
  <si>
    <t>Given KT To manulal team for github account creation ,access for repo</t>
  </si>
  <si>
    <t>UW Control UAT Regression Execution in GPASTEST</t>
  </si>
  <si>
    <t>Executed 2 testcases as part of UW Controls UAT Scenario and updated evidences,jira</t>
  </si>
  <si>
    <t>Connected with manual team for KT and completed 2 out of 3 testcases completely for all env(65%)</t>
  </si>
  <si>
    <t>Discussionw with dev on GPS-27332</t>
  </si>
  <si>
    <t xml:space="preserve">GPS-27332 </t>
  </si>
  <si>
    <t>Teams Meetings</t>
  </si>
  <si>
    <t xml:space="preserve">standup,status </t>
  </si>
  <si>
    <t>Smoke Test Execution in Dev,Sit2,Test</t>
  </si>
  <si>
    <t xml:space="preserve">Executed all 13 MP's in 3 different envs </t>
  </si>
  <si>
    <t>Completed 3 out of 3 testcases completely for all env(100%)</t>
  </si>
  <si>
    <t xml:space="preserve">Retested and closed  GPS-27332 </t>
  </si>
  <si>
    <t>Contra Rewrite UAT Regression Scripting</t>
  </si>
  <si>
    <t>1 testcase as part of Contra Rewrite is completed(20%) UAT Scenario</t>
  </si>
  <si>
    <t>Authority Control prod Issue Meet with Dev</t>
  </si>
  <si>
    <t xml:space="preserve">Reproduced the defect in sit1 test and uat </t>
  </si>
  <si>
    <t>Smoke Test, Smoke Detail Execution in UAT,GPASSIT2,GPASDEV2</t>
  </si>
  <si>
    <t>Executed 9 smoke detail scenario NB runoff ,Runoff,Contra Policy Change and core BC flows along with smoke test</t>
  </si>
  <si>
    <t>Contra Policy Change UAT Regression Execution</t>
  </si>
  <si>
    <t>Executed 3 testcases as part of Conra Policy Change UAT Scenario</t>
  </si>
  <si>
    <t>Smoke Test in GPASSIT2,GPASTEST</t>
  </si>
  <si>
    <t xml:space="preserve">Executed all 13 MP's in 2 different envs </t>
  </si>
  <si>
    <t>1 testcase as part of Contra Rewrite is completed(55%) UAT Scenario</t>
  </si>
  <si>
    <t>Smoke Test in UAT</t>
  </si>
  <si>
    <t xml:space="preserve">Executed all 13 MP's </t>
  </si>
  <si>
    <t>1 testcase as part of Contra Rewrite is completed(65%) UAT Scenario</t>
  </si>
  <si>
    <t>Automatio Setup</t>
  </si>
  <si>
    <t>GPS-27358 Scripting</t>
  </si>
  <si>
    <t>Scripting in progress(10%)</t>
  </si>
  <si>
    <t>Copilot Meet with Leadership/Teams Calls</t>
  </si>
  <si>
    <t>PC to BC Functionality KT</t>
  </si>
  <si>
    <t>Got functional Kt From anshu</t>
  </si>
  <si>
    <t>Gen AI Training</t>
  </si>
  <si>
    <t>Pc To Bc flow scripting</t>
  </si>
  <si>
    <t>Started scripting for pc to bc flows</t>
  </si>
  <si>
    <t>Smoke Test in GPASDEV,GPASSIT1</t>
  </si>
  <si>
    <t>Connected with team for automation setup</t>
  </si>
  <si>
    <t>Completed scripting for 7 flows(35%)</t>
  </si>
  <si>
    <t>Completed scripting for 12 flows(60%)</t>
  </si>
  <si>
    <t>Raised GPS-27611 for invalid quote error</t>
  </si>
  <si>
    <t>Raised the defect and explained dev</t>
  </si>
  <si>
    <t>GPASTest 1.1.3 regression 10 scenarios Invoice validation</t>
  </si>
  <si>
    <t>Invoice issue validation in 2 scenarios</t>
  </si>
  <si>
    <t>Team meetings</t>
  </si>
  <si>
    <t>3 Scenarios Invoice generation for PO review</t>
  </si>
  <si>
    <t>for Cyber Invoice signoffProviding Invoices to Alejandro and updating the tracker accordingly</t>
  </si>
  <si>
    <t>UAT 1.1.3 regression Invoice validation</t>
  </si>
  <si>
    <t>2 Scenarios Invoice validation completed</t>
  </si>
  <si>
    <t>KT call on Invoice validation</t>
  </si>
  <si>
    <t xml:space="preserve">GPASTest 1.1.3 regression </t>
  </si>
  <si>
    <t>Invoice issues discussion with Dev</t>
  </si>
  <si>
    <t>PDF comparator tool discussion</t>
  </si>
  <si>
    <t>GPAStest JIRA ticket 130 cases execution</t>
  </si>
  <si>
    <t>130 cases execution in JIRA</t>
  </si>
  <si>
    <t>UAT Regression Invoice Validation</t>
  </si>
  <si>
    <t xml:space="preserve">Validated Invoices for UAT Regression </t>
  </si>
  <si>
    <t>Sample Invoice creation</t>
  </si>
  <si>
    <t>Created sample Invoices for PDF comparator tool</t>
  </si>
  <si>
    <t>UAT JIRA ticket 82 cases</t>
  </si>
  <si>
    <t xml:space="preserve"> Upload and execution of 82 testcases in JIRA</t>
  </si>
  <si>
    <t>Invoice Tax amount issue discussion</t>
  </si>
  <si>
    <t>UI Tax amount discussion with team</t>
  </si>
  <si>
    <t>Creation of Cyber Invoices for PO review</t>
  </si>
  <si>
    <t>Executed 3 scenarios to create Invoices for PO review</t>
  </si>
  <si>
    <t>Validation of Cyber Invoices for PO review</t>
  </si>
  <si>
    <t xml:space="preserve">Validated 7 scenario -28 Cyber Invoices for PO review </t>
  </si>
  <si>
    <t>Defect GPS-27070 retest in SIT1</t>
  </si>
  <si>
    <t>Defect retested in SIT1</t>
  </si>
  <si>
    <t>Defect GPS-27057 retest in SIT1</t>
  </si>
  <si>
    <t>Defect has multiple scenarios for MTA-OEP, MTA Run-Off and NB-RunOff, had to re-execute since the build version was not available</t>
  </si>
  <si>
    <t>Defect GPS-27150 discussion with Dev and BA</t>
  </si>
  <si>
    <t>Discussion with Dev and BA for the expected tax values</t>
  </si>
  <si>
    <t>Defect GPS-22592 scenario</t>
  </si>
  <si>
    <t>On PO request created a scenario in GPASTest for Invoice validation but due to an existing issue in GPASTest had to recreate the whole scenario in SIT1. Created and validated 12 Invoices</t>
  </si>
  <si>
    <t>Validated 2 scenarios- 8 Invoices</t>
  </si>
  <si>
    <t>Validation and Discussion on copilot Invoice comparison</t>
  </si>
  <si>
    <t>Validate the Copilot report generated for Invoice comparison</t>
  </si>
  <si>
    <t>Release 1.2 Invoice closed Defect analysis</t>
  </si>
  <si>
    <t>Checked all the R1.2 Invoice defects to understand whether the fix is from GW or Precisely, 16 defects validated</t>
  </si>
  <si>
    <t>Analyze CR 64 (GPS-26609) Tax Order user story</t>
  </si>
  <si>
    <t xml:space="preserve">Analyzed the details for New CR for Tax order list </t>
  </si>
  <si>
    <t>Quality Gate check setup in Postman</t>
  </si>
  <si>
    <t>Quality gate check setup is done in Postman</t>
  </si>
  <si>
    <t>Access verification</t>
  </si>
  <si>
    <t xml:space="preserve">Verified the access requests raised </t>
  </si>
  <si>
    <t>AI training Capgemini</t>
  </si>
  <si>
    <t>Enrolled for Activate Ai course in Capgemini and learning portal and doing the course</t>
  </si>
  <si>
    <t>Defect GPS-27150 retest in SIT1</t>
  </si>
  <si>
    <t xml:space="preserve">Multiple scenarios need to be tested for Austria coinsurance share table tax amount defect </t>
  </si>
  <si>
    <t xml:space="preserve">Analyzed all R1.2 defects </t>
  </si>
  <si>
    <t>27 defects analysed to understand the fix done at Precisely or Integ ..also worked to understand if separate execution is required or the fix will be covered in regression</t>
  </si>
  <si>
    <t xml:space="preserve">Continued testing 1 more scenario with Vertical Pricing </t>
  </si>
  <si>
    <t>Discussion with BA for GPS-27150</t>
  </si>
  <si>
    <t>Discussion with BA over expected tax values for different scenarios</t>
  </si>
  <si>
    <t>Defect GPS-25619 retest in GPAStest</t>
  </si>
  <si>
    <t>Invoice upload in SP</t>
  </si>
  <si>
    <t>Renamed and uploaded last regression Invoices in Sharepoint for copilot comparison</t>
  </si>
  <si>
    <t>GPasTest regression Invoice validation</t>
  </si>
  <si>
    <t>Meetings with team for Invoice validation</t>
  </si>
  <si>
    <t>Defect GPS-27150 retest in GPAStest</t>
  </si>
  <si>
    <t>Defects retest GPASTest</t>
  </si>
  <si>
    <t>Different scenarios for OEP and RunOff date observation</t>
  </si>
  <si>
    <t>observed an issue in OEP and RunOff first document with dates, validated that</t>
  </si>
  <si>
    <t>Defect GPS-27425 retest in GPASTest</t>
  </si>
  <si>
    <t>Retested BC defect GPS-27425 in GPASTest and closed it</t>
  </si>
  <si>
    <t>Defect GPS-26810 retest in GPASTest</t>
  </si>
  <si>
    <t>Retested Invoice defect GPS-26810 in GPASTest</t>
  </si>
  <si>
    <t>Invoice documents not generating in PC</t>
  </si>
  <si>
    <t>Observed an issue in PC documents generation, checked in multiple env and raised defect GPS-27492</t>
  </si>
  <si>
    <t>Spain tax translation retest</t>
  </si>
  <si>
    <t>Spain tax was not translating to Spanish due to some change, retested that</t>
  </si>
  <si>
    <t>GPASTest Migration case Invoices validation</t>
  </si>
  <si>
    <t>Completed the GPASTest 8 Invoice documents validation</t>
  </si>
  <si>
    <t>Policy centre docs issue verification in UAT</t>
  </si>
  <si>
    <t>Verified the observation from GPASTest into UAT, In case of immediated OEP elect and De elect</t>
  </si>
  <si>
    <t xml:space="preserve">UAT regression Invoice validation </t>
  </si>
  <si>
    <t>GPS- 27492 defect retest</t>
  </si>
  <si>
    <t>GPS-27423 defect discussion with BA and Dev</t>
  </si>
  <si>
    <t>UAT regression Invoice validation release 26.15</t>
  </si>
  <si>
    <t>UAT regression 70 Invoices validation completed</t>
  </si>
  <si>
    <t>Defect GPS-27492 retest in GPASTest</t>
  </si>
  <si>
    <t>Defect GPS-27492 retest in UAT</t>
  </si>
  <si>
    <t>Leave</t>
  </si>
  <si>
    <t>Defect GPS-27423 retest in SIT1</t>
  </si>
  <si>
    <t>Validation of Invoices from CR-51 execution in GPASTest</t>
  </si>
  <si>
    <t>Automation installation meeting</t>
  </si>
  <si>
    <t>Analyzing GPS-26609 Tax order story</t>
  </si>
  <si>
    <t>Invoice Validation for CR51 GPASTest execution</t>
  </si>
  <si>
    <t>Analyzed GPS-26959 Tax order story and the testcases from Invoice documents perspective</t>
  </si>
  <si>
    <t>Completed scripting for 19 flows(100%)</t>
  </si>
  <si>
    <t>Executed all 13 MP's in 2 different envs two times</t>
  </si>
  <si>
    <t>Scenarios discussion on GPS-26959 , GPS-26609</t>
  </si>
  <si>
    <t>Connected with Pavan from PC team on GPS-26609 &amp; GPS-26959 scenarios discussion</t>
  </si>
  <si>
    <t>Connected with Indu from BC team on GPS-26609 &amp; GPS-26959 for scenarios discussion</t>
  </si>
  <si>
    <t>Automation intial setup Call</t>
  </si>
  <si>
    <t>Designed 18 cases</t>
  </si>
  <si>
    <t>Executed cases</t>
  </si>
  <si>
    <t>GPS-26609 test design updation test data creation and started execution</t>
  </si>
  <si>
    <t xml:space="preserve">Modified test design,Created 4 submissions and Executed 3 test cases </t>
  </si>
  <si>
    <t>VDI slowness</t>
  </si>
  <si>
    <t>VDI slowness issue</t>
  </si>
  <si>
    <t>Legal Name PROD issue analysis</t>
  </si>
  <si>
    <t>Reimagine with AI</t>
  </si>
  <si>
    <t>Status update</t>
  </si>
  <si>
    <t>DSM - Prep</t>
  </si>
  <si>
    <t>PROD issue analysis - GS-236</t>
  </si>
  <si>
    <t>GPAS - Controls reports call with Manuel</t>
  </si>
  <si>
    <t>PROD issue analysis - GS-236 with business</t>
  </si>
  <si>
    <t>GS-193 locally created contacts discussion</t>
  </si>
  <si>
    <t>E2E Scenario Executed</t>
  </si>
  <si>
    <t>Contra Rewrite scenario executed</t>
  </si>
  <si>
    <t>Executed 5 cases and 3 defecta raised</t>
  </si>
  <si>
    <t>Connected on Tax ordering issue</t>
  </si>
  <si>
    <t>Connected with Anshika on invoice document issues</t>
  </si>
  <si>
    <t>Recreated the defect GPS-27775</t>
  </si>
  <si>
    <t>Defect related calls and recreation of defect</t>
  </si>
  <si>
    <t>Created and uploaded 3 scenarios in Jira for Agresso testing</t>
  </si>
  <si>
    <t>Analysed defect GPS-27809</t>
  </si>
  <si>
    <t>Executed 3 scenarios as part of regression</t>
  </si>
  <si>
    <t>Quality Gate Checks</t>
  </si>
  <si>
    <t>Validated all Agresso scenarios data from regressiona and shared for downstream validations</t>
  </si>
  <si>
    <t>50mins</t>
  </si>
  <si>
    <t>10mins</t>
  </si>
  <si>
    <t>ISTQB training call</t>
  </si>
  <si>
    <t>Validated 10 scenarios in Agresso</t>
  </si>
  <si>
    <t>Validated 10 scenarios in Agresso as part of CR051 E2E</t>
  </si>
  <si>
    <t>Designed and uplaoded 3 scenarios from Agresso regression</t>
  </si>
  <si>
    <t>Analysed and connected with Vijay on this defect</t>
  </si>
  <si>
    <t>Executed 3 scenarios as part of Regression</t>
  </si>
  <si>
    <t xml:space="preserve">Validated all regression data and shared for downstreams </t>
  </si>
  <si>
    <t>Performed Quality Gate Checks</t>
  </si>
  <si>
    <t>Disccused on one of the regression automated scenario</t>
  </si>
  <si>
    <t>Call with Ramakanth on one of the Regression case Issue</t>
  </si>
  <si>
    <t>Smoke Test, Smoke Detail Execution in GPASTEST,Smoke execution GPASSIT2,GPASDEV2,GPASSIT4,GPASSIT1(2 times)</t>
  </si>
  <si>
    <t>Executed 9 smoke detail scenario NB runoff ,Runoff,Contra Policy Change and core BC flows along with smoke test in multiple env's</t>
  </si>
  <si>
    <t>Contra Rewrite UAT Regression Execution</t>
  </si>
  <si>
    <t>Executed 2 testcases as part of ConraRewrite UAT Scenario</t>
  </si>
  <si>
    <t>Reproduce the Prod defect GS-236</t>
  </si>
  <si>
    <t>Reroduced the prod defect in TEST env with 2 Migrated Policy and shared the details with Vijay</t>
  </si>
  <si>
    <t>GPS-27817 and GPS-27818 Agresso related Test case executed in test env.</t>
  </si>
  <si>
    <t>Executed 2 TC for Agresso in TEST env</t>
  </si>
  <si>
    <t>Retested Defect GPS-27080 in TEST env</t>
  </si>
  <si>
    <t xml:space="preserve">GPS-27080 executed and closed the defect </t>
  </si>
  <si>
    <t>Attended the meeting for Commissions Calculation Issue (manually entered scenarios)</t>
  </si>
  <si>
    <t>Meeting for Commsion Calculation</t>
  </si>
  <si>
    <t>Attended the Meeting for GS-193 locally created contacts discussion</t>
  </si>
  <si>
    <t>Discussed the GPS-193 Prod defect and GPS-27572 defect and calcualtion realted things in this meeting</t>
  </si>
  <si>
    <t xml:space="preserve">Explain the Calculation logic to Pavan for Fee and Discount </t>
  </si>
  <si>
    <t xml:space="preserve">Explain the Calculation  logic to Pavan and share the sheet </t>
  </si>
  <si>
    <t xml:space="preserve">Executed 3 TC for defect GPS-27537 </t>
  </si>
  <si>
    <t>CM - TEST - Regression</t>
  </si>
  <si>
    <t>Reproduced issue GPS-27775</t>
  </si>
  <si>
    <t>GPS-27775: 4 Policies(Coinsurance/Non-coinsurance)</t>
  </si>
  <si>
    <t>Discussion GPS-27073- Update to Primary Named Insured &amp; Policy Address</t>
  </si>
  <si>
    <t xml:space="preserve">Executed 1 TC for defect GPS-27537 </t>
  </si>
  <si>
    <t>Validate 12 testcases for user story for GPS-27031</t>
  </si>
  <si>
    <t>Executed 3 Scenarios in Test env</t>
  </si>
  <si>
    <t>Executed 1 Scenario in TEST env</t>
  </si>
  <si>
    <t>Retested the defect GPS-27527 in TEST env</t>
  </si>
  <si>
    <t>Retested GPS-27527 defect in TEST env and closed it</t>
  </si>
  <si>
    <t>Discussed various scenarios and observations with BC and Integ team for Tax ordering and tax translation stories and Raised defect GPS-27732</t>
  </si>
  <si>
    <t>total 32 testcases are finalised</t>
  </si>
  <si>
    <t>Created 2 Policies to with multiple transations for CR54 validation</t>
  </si>
  <si>
    <t>Executed 3 Scenarios in SIT1 and replicated the penny issue with Anshu and raised defect for this issue Defect GPS-27651</t>
  </si>
  <si>
    <t xml:space="preserve">GPS-26609 user story testing strted - </t>
  </si>
  <si>
    <t xml:space="preserve">2 test cases executed with multiple scenarios to test the Tax Type list </t>
  </si>
  <si>
    <t>Planned Leave</t>
  </si>
  <si>
    <t>Retested defect GPS-27537 -  4 Scenarios in Test environment</t>
  </si>
  <si>
    <t>2 Policies created with multiple transaction and validated for the defect- Passed
Another 2 Policies created with multiple transaction with Vertical pricing and validated for the defect for follow cointurer-Failed</t>
  </si>
  <si>
    <t>Defect GPS-27723 retest in GPASTest</t>
  </si>
  <si>
    <t>Tested the tax translation in 4 different languages</t>
  </si>
  <si>
    <t>Testing tax ordering for German policy for GPS-26923</t>
  </si>
  <si>
    <t>GPS-27832 - Open</t>
  </si>
  <si>
    <t>Rested defects GPS-27770,GPS-277701,GPS-277702 &amp; GPS- 27513</t>
  </si>
  <si>
    <t xml:space="preserve">Validated CR-51 &amp; CR-54 polcies are available in shared BI report </t>
  </si>
  <si>
    <t>Connected with Pavan on Migrated scenario testing from regression</t>
  </si>
  <si>
    <t>GPS-27073, GPS-27326, GPS-27329 - BC and Downstream impact - Internal</t>
  </si>
  <si>
    <t>IG</t>
  </si>
  <si>
    <t xml:space="preserve">Checked for broker with 255 characters </t>
  </si>
  <si>
    <t>Created data from CRM and validate it reaches to PC(GPS-27358)</t>
  </si>
  <si>
    <t>GPS-27523 
created data for negative scenario account wth refresh button.</t>
  </si>
  <si>
    <t>System restarted for updates and VDI issue</t>
  </si>
  <si>
    <t>Vdi is not opening.After several time got opened</t>
  </si>
  <si>
    <t>GPS-26923 analysis and test case  review</t>
  </si>
  <si>
    <t>IGAPP helios update and deployed latest build in GPASS4</t>
  </si>
  <si>
    <t>GPASSIT4 env Setup</t>
  </si>
  <si>
    <t>MDMnegative scenario GPS-27523 retest</t>
  </si>
  <si>
    <t>GPS-27523 retested and reopened
created data for negative scenario account wth refresh button.</t>
  </si>
  <si>
    <t>GPS-27135 US analysis and test case review</t>
  </si>
  <si>
    <t>IG APPS deloyed in GPASSIT1</t>
  </si>
  <si>
    <t>All the 14 Apps deployed in GAPSSIT1</t>
  </si>
  <si>
    <t>Total 30 cases reviewd</t>
  </si>
  <si>
    <t>Account Vs policy linkage</t>
  </si>
  <si>
    <t>Had a call with developer and BA</t>
  </si>
  <si>
    <t>IG APPS deloyed in GPASSIT2</t>
  </si>
  <si>
    <t>All the 14 Apps deployed in GAPSSIT2</t>
  </si>
  <si>
    <t>MDMnegative scenario checked and opened defect (GS-123)</t>
  </si>
  <si>
    <t>Cross checked which fields applicable in UW Report</t>
  </si>
  <si>
    <t>17 cases reviewed</t>
  </si>
  <si>
    <t>Did Automation setup ,clone the repo</t>
  </si>
  <si>
    <t>GPS-27644</t>
  </si>
  <si>
    <t>Jira clean-up for CM Regression</t>
  </si>
  <si>
    <t>Tested 2 scenarios from GPS-26609</t>
  </si>
  <si>
    <t>Tested 2 scenarios from GPS-26609 and discussed with pavan and komala reg an observation</t>
  </si>
  <si>
    <t>Validate polices in BI report</t>
  </si>
  <si>
    <t>Created and validated the migrated scenario in GPASTEST</t>
  </si>
  <si>
    <t>coinsurance scenario</t>
  </si>
  <si>
    <t>Executed UAT test case as part of regression</t>
  </si>
  <si>
    <t>Executed UAT test case as part of regression--3 tes cases</t>
  </si>
  <si>
    <t>Blocked for an hr due to stuck and vdi slowness</t>
  </si>
  <si>
    <t>UAT test case downloading docs</t>
  </si>
  <si>
    <t>Downloading invoice document for automated test cases , renaming and storing in local path</t>
  </si>
  <si>
    <t>Claims retrieval</t>
  </si>
  <si>
    <t>Retrieving data in cc for more than 70 policies, 2 test case executed-existing data and new data</t>
  </si>
  <si>
    <t xml:space="preserve">ISTQB certification training </t>
  </si>
  <si>
    <t>BackDated Data Compatability</t>
  </si>
  <si>
    <t>Took BackDated Data Policy and did some other transaction in TEST env</t>
  </si>
  <si>
    <t>Retested 5 defect in TESt env</t>
  </si>
  <si>
    <t>Executed GPS-27136, GPS-25867, GPS-25618, GPS-24431 and GPS-23451 in TEST env</t>
  </si>
  <si>
    <t>Updated the TC for GPS-26181</t>
  </si>
  <si>
    <t xml:space="preserve">Retested GPS-27787 and GPS-27651 defect </t>
  </si>
  <si>
    <t>Attended the meeting for GPS-27073, GPS-27329, GPS-27329</t>
  </si>
  <si>
    <t>Created CR(52) Regressions scnerio and shared 3 polcies with MDA team</t>
  </si>
  <si>
    <t>Created CR52 scenario and validated 3 polices and shared with MDA team</t>
  </si>
  <si>
    <t>Retested 4 defects in GPASTEST</t>
  </si>
  <si>
    <t xml:space="preserve">UAT Regression </t>
  </si>
  <si>
    <t>3 TC executed</t>
  </si>
  <si>
    <t>2 TC executed</t>
  </si>
  <si>
    <t>Retest the defects and closed - TEST</t>
  </si>
  <si>
    <t>Logged new defect</t>
  </si>
  <si>
    <t>6 Defects has been tested</t>
  </si>
  <si>
    <t>Data creation for defect GPS-27770, 27771,27772 &amp; 27669 retested along with Sandeep</t>
  </si>
  <si>
    <t>created 4 Policies with Policy change trancations for doucments hiding functionality</t>
  </si>
  <si>
    <t xml:space="preserve">GPS-26609 User story execution - </t>
  </si>
  <si>
    <t>Executed 7 test cases and passed with multiple transactions</t>
  </si>
  <si>
    <t>JIRA Update of GPASTest Invoice regression</t>
  </si>
  <si>
    <t>2 hrs</t>
  </si>
  <si>
    <t>Executed 88 Invoice testcases in JIRA</t>
  </si>
  <si>
    <t>Invoice Validation for  GPASTest regression</t>
  </si>
  <si>
    <t>Defect GPS-27423 retest in GPASTest</t>
  </si>
  <si>
    <t>Validated tax ordering with BC to Invoice document</t>
  </si>
  <si>
    <t>40 Invoices validation from GPASTest regression</t>
  </si>
  <si>
    <t>2 Defects raised- GPS-27844 &amp; GPS-27839</t>
  </si>
  <si>
    <t>3 scenarios tested with multiple transactions for this defect</t>
  </si>
  <si>
    <t>Pc To Bc flow Execution</t>
  </si>
  <si>
    <t>Executed Pc to Bc  scenarios for all 20 flows</t>
  </si>
  <si>
    <t>Smoke Test in GPASDEV,GPASSIT1,GPASTEST</t>
  </si>
  <si>
    <t>Executed all 13 MP's in 3 different envs two times</t>
  </si>
  <si>
    <t>CAll with dev on Defect  GPS-27809</t>
  </si>
  <si>
    <t>Retested the defect GPS-27809.</t>
  </si>
  <si>
    <t>Validated 4 scenarios from CR-54 in Agresso</t>
  </si>
  <si>
    <t>Validatded Regression scenarios in Agresso</t>
  </si>
  <si>
    <t>Retested the defetct GPS-27850 in SIT1</t>
  </si>
  <si>
    <t xml:space="preserve">Call with vijay on MTA ,Contra/rewrite  polciy </t>
  </si>
  <si>
    <t>Call with Vijay on Rgeression Agresso observation</t>
  </si>
  <si>
    <t xml:space="preserve">Logged a defect GPS-27875 </t>
  </si>
  <si>
    <t>Call with Vijay and Jen on UW control Report</t>
  </si>
  <si>
    <t>GPS-27651 defect closed</t>
  </si>
  <si>
    <t>raised one defect GPS-27689 for Prod defect GS-237</t>
  </si>
  <si>
    <t>Defect raised GPS-27689 for Prod issue</t>
  </si>
  <si>
    <t>Executed one TC for GPS-24113</t>
  </si>
  <si>
    <t>Attached the Evidence in jira for GPS-24113</t>
  </si>
  <si>
    <t xml:space="preserve">Helped Deepika for some PC field </t>
  </si>
  <si>
    <t>Preapred the demo Scenarios for GPS-24113</t>
  </si>
  <si>
    <t>Attedned Internal demo</t>
  </si>
  <si>
    <t>Executed 5 TC for GPS-26181</t>
  </si>
  <si>
    <t>Updated the TC for GPS-26181 total 30 TC now</t>
  </si>
  <si>
    <t>Putted the comment and closed the defect</t>
  </si>
  <si>
    <t xml:space="preserve">for Snowflake </t>
  </si>
  <si>
    <t>Demo Scenarios for GPS-24113</t>
  </si>
  <si>
    <t>Executed 5 TC for GPS-26181 and open one defect GPS-27853, conneted with Sapan and share for clarification</t>
  </si>
  <si>
    <t>9.5 hr</t>
  </si>
  <si>
    <t xml:space="preserve">Connected with dev on defect </t>
  </si>
  <si>
    <t>Call with Dev on defect GPS-27850</t>
  </si>
  <si>
    <t>Retested the defect in TEST</t>
  </si>
  <si>
    <t>Validate 4 scenarios with multiple transactions</t>
  </si>
  <si>
    <t>Validated 7 polices with multiple transactions</t>
  </si>
  <si>
    <t>Connected with Vijay and komala on a defect</t>
  </si>
  <si>
    <t xml:space="preserve">Discussed observations with Vijay </t>
  </si>
  <si>
    <t xml:space="preserve">Logged a new Agresso defect </t>
  </si>
  <si>
    <t>UW control report call</t>
  </si>
  <si>
    <t>2.20mins</t>
  </si>
  <si>
    <t>Smoke Test in GPASTEST,UAT and smoke detail in UAT</t>
  </si>
  <si>
    <t>Executed all 13 MP's in 2 different envs and  2 scenarios in uat as part of smoke detail</t>
  </si>
  <si>
    <t>GPS-27358 scripting</t>
  </si>
  <si>
    <t>scripted 15 % as part of GPS-27358 story</t>
  </si>
  <si>
    <t>Meet with dev on GPS-27787</t>
  </si>
  <si>
    <t>Discussed details and expected behaviour for the defect with dev</t>
  </si>
  <si>
    <t>scripting In progress</t>
  </si>
  <si>
    <t>CR-52</t>
  </si>
  <si>
    <t>GPS-26959 - 7 executed: with Multi-transactions</t>
  </si>
  <si>
    <t>created 3 Policies with multiple transaction</t>
  </si>
  <si>
    <t xml:space="preserve">GPS-26959 User story execution - </t>
  </si>
  <si>
    <t>2 Policies with Policy change (RP) and Billing instructions validation along with invoices</t>
  </si>
  <si>
    <t>Defect-27669 executed</t>
  </si>
  <si>
    <t xml:space="preserve">one policy created and validated document generation </t>
  </si>
  <si>
    <t xml:space="preserve">GPS-27844 defect discussion with Dev and replicated </t>
  </si>
  <si>
    <t>Disscussion with Susmita &amp; Basu for commission override related issue</t>
  </si>
  <si>
    <t>Susmita has raised  defect after the disucssion</t>
  </si>
  <si>
    <t>Defect-27669 executed along with Sandeep</t>
  </si>
  <si>
    <t>Hiding and Unhiing fuctionality of the doocument in the Billing center in the Accout level</t>
  </si>
  <si>
    <t xml:space="preserve">Team meeting	</t>
  </si>
  <si>
    <t>Validate 3 scenarios with multiple transactions</t>
  </si>
  <si>
    <t>Revise Due Date to Past Date in BC : User story - AC discussion</t>
  </si>
  <si>
    <t xml:space="preserve">Executed 10 GPS-26609 Test cases Execution </t>
  </si>
  <si>
    <t>E2E Regression execution in GPASTEST environment on Migrated renewal</t>
  </si>
  <si>
    <t>one failed test case executed with multiple transaction and it is working as expected after defect fix.</t>
  </si>
  <si>
    <t xml:space="preserve">GPS-26609 Test Cases Execution </t>
  </si>
  <si>
    <t>Created data for 3 scenarios as asked by MDA team</t>
  </si>
  <si>
    <t>Created 3 scenarios data as part of CR052 and shared to MDA team</t>
  </si>
  <si>
    <t>Validated 2 scenarios from CR054 and 1 scenario from Regression</t>
  </si>
  <si>
    <t>Created 4 policies and validated Including coinsurance scenarios,Fees and Discounts</t>
  </si>
  <si>
    <t>Validated Regression polcies loaded in Agresso UAT</t>
  </si>
  <si>
    <t xml:space="preserve">GPS-26181 - helped Pavan in execution </t>
  </si>
  <si>
    <t>For chaning Roles &amp; Groups during execution</t>
  </si>
  <si>
    <t>Created data and shared with MDA team</t>
  </si>
  <si>
    <t>The AI Foundation Badge learning</t>
  </si>
  <si>
    <t>Created data and shared with MDA team for CR052</t>
  </si>
  <si>
    <t>Validated Scenarios in Agresso</t>
  </si>
  <si>
    <t>Validated 9 polices in Agresso UAT</t>
  </si>
  <si>
    <t xml:space="preserve">Daily stand up call &amp; EOD call </t>
  </si>
  <si>
    <t>Created 25 submissions</t>
  </si>
  <si>
    <t>Executed 11 scenarios with multiple transactions</t>
  </si>
  <si>
    <t>Half Day Leave</t>
  </si>
  <si>
    <t>Re created regression scenarion in GPASTEST as address mismatch is observed</t>
  </si>
  <si>
    <t>Raised GPS-27841 defect for agresso issue as part of regression - Address mismatch</t>
  </si>
  <si>
    <t xml:space="preserve">GPS-26959 Test Cases Execution </t>
  </si>
  <si>
    <t>Executed 9 test cases in GPS-26609 which includes all the transactions in each test case as well as validating the same in Billing Centre</t>
  </si>
  <si>
    <t>Executed 2 test cases in GPS-26959 which includes all the transactions in each test case as well as validating the same in Billing Centre</t>
  </si>
  <si>
    <t>Executed 2 test case in GPS-26609 which includes all the transactions also validating the same in Billing Centre</t>
  </si>
  <si>
    <t>Retested GPS-27832 defect and closed</t>
  </si>
  <si>
    <t>Connected with Anshu and took KT on GPS-26181 TO DO test cases</t>
  </si>
  <si>
    <t xml:space="preserve">GPS-26181 Test Cases Execution </t>
  </si>
  <si>
    <t>Internal demo</t>
  </si>
  <si>
    <t>Retested defect GPS-27537 in UAT env</t>
  </si>
  <si>
    <t>Reproduce the Prod defect GPS-27869 in TEST env</t>
  </si>
  <si>
    <t>Done internal demo with Sapna and Basu</t>
  </si>
  <si>
    <t>Executed 7 Test cases from GPS-26181 User Story</t>
  </si>
  <si>
    <t>Given the half user story demo for GPS-24113</t>
  </si>
  <si>
    <t>did 3 Scenarios for UW control for all Submission, Pc and Rewrite</t>
  </si>
  <si>
    <t xml:space="preserve">Retested one Scenarios  for UAT env for GPS-27537 </t>
  </si>
  <si>
    <t xml:space="preserve">Retested defect GPS-27869 in TESt </t>
  </si>
  <si>
    <t>11 hr</t>
  </si>
  <si>
    <t>Daily BC Stand up call with Po's</t>
  </si>
  <si>
    <t xml:space="preserve">GPAS Billing center Daily stand up </t>
  </si>
  <si>
    <t xml:space="preserve">GPS-27844 defect reteted </t>
  </si>
  <si>
    <t>created policy with NB+Policy change+Rewrite transactions, retested the defect and reopened.</t>
  </si>
  <si>
    <t>Validated OEP and Runoff Scenarios from Regression and to downstreams validations</t>
  </si>
  <si>
    <t>Validated 4 scenarios data from Regression</t>
  </si>
  <si>
    <t>UAT regression Invoice validation release 26.16</t>
  </si>
  <si>
    <t>PDF Comparator tool demo prep and meetings</t>
  </si>
  <si>
    <t>1.5 hrs</t>
  </si>
  <si>
    <t>GPASTest regression Invoice validation</t>
  </si>
  <si>
    <t>3 hrs</t>
  </si>
  <si>
    <t>GPS-27688 Defect impact assesment and meetings</t>
  </si>
  <si>
    <t>Invoice Validation for  GPASTest regression 26.16</t>
  </si>
  <si>
    <t>Connected with Anshu on Rate Change, TPI, BPI understandings</t>
  </si>
  <si>
    <t>User Story GPS-27025 analysis and authoring</t>
  </si>
  <si>
    <t>Discussed/Analysis on PROD issue</t>
  </si>
  <si>
    <r>
      <rPr>
        <b/>
        <sz val="11"/>
        <color theme="1"/>
        <rFont val="Aptos Narrow"/>
        <family val="2"/>
        <scheme val="minor"/>
      </rPr>
      <t>Daily QA Connect:</t>
    </r>
    <r>
      <rPr>
        <sz val="11"/>
        <color theme="1"/>
        <rFont val="Aptos Narrow"/>
        <family val="2"/>
        <scheme val="minor"/>
      </rPr>
      <t xml:space="preserve"> Daily QA coordination and test progress discussion</t>
    </r>
  </si>
  <si>
    <t>Team sync meeting</t>
  </si>
  <si>
    <r>
      <rPr>
        <b/>
        <sz val="11"/>
        <color theme="1"/>
        <rFont val="Aptos Narrow"/>
        <family val="2"/>
        <scheme val="minor"/>
      </rPr>
      <t>Beazley Testing DSM</t>
    </r>
    <r>
      <rPr>
        <sz val="11"/>
        <color theme="1"/>
        <rFont val="Aptos Narrow"/>
        <family val="2"/>
        <scheme val="minor"/>
      </rPr>
      <t>: Testing defect status monitoring and prioritization discussion</t>
    </r>
  </si>
  <si>
    <r>
      <t>Beazley Offshore Daily Standup:</t>
    </r>
    <r>
      <rPr>
        <sz val="11"/>
        <color theme="1"/>
        <rFont val="Aptos Narrow"/>
        <family val="2"/>
        <scheme val="minor"/>
      </rPr>
      <t xml:space="preserve"> Coordination with dev team on defect fixes and testing dependencies</t>
    </r>
  </si>
  <si>
    <t>Offshore daily discussion</t>
  </si>
  <si>
    <t>DSM meeting</t>
  </si>
  <si>
    <t>Execution and validation of User Story GPS-27025 covering multi-transaction billing scenarios</t>
  </si>
  <si>
    <t>Executed 8 test cases across multiple transaction flows</t>
  </si>
  <si>
    <r>
      <t>GPAS BillingCenter: Daily Stand-up:</t>
    </r>
    <r>
      <rPr>
        <sz val="11"/>
        <color theme="1"/>
        <rFont val="Aptos Narrow"/>
        <family val="2"/>
        <scheme val="minor"/>
      </rPr>
      <t xml:space="preserve"> BillingCenter project coordination and progress discussion with Product Owners</t>
    </r>
  </si>
  <si>
    <t>Daily standup</t>
  </si>
  <si>
    <t>Collaborated with dev team &amp; PO's to analyze, validate, and close reported defect</t>
  </si>
  <si>
    <t>GPS-27891 successfully validated and closed</t>
  </si>
  <si>
    <t>Retested and validated defect fix for GPS-27506 in UAT across coinsurance policy scenarios</t>
  </si>
  <si>
    <t>Executed validation using 6 coinsurance policies including Policy Change, Cancellation, and Reinstatement scenarios</t>
  </si>
  <si>
    <t xml:space="preserve">Executed CM - UAT regression testing </t>
  </si>
  <si>
    <t>Validated 12 checkpoints across 5 test cases</t>
  </si>
  <si>
    <r>
      <rPr>
        <b/>
        <sz val="11"/>
        <color theme="1"/>
        <rFont val="Aptos Narrow"/>
        <family val="2"/>
        <scheme val="minor"/>
      </rPr>
      <t>Beazley Testing DSM</t>
    </r>
    <r>
      <rPr>
        <sz val="11"/>
        <color theme="1"/>
        <rFont val="Aptos Narrow"/>
        <family val="2"/>
        <scheme val="minor"/>
      </rPr>
      <t>: Testing defect triage, status review, and prioritization discussion</t>
    </r>
  </si>
  <si>
    <t>Executed and validated User Story GPS-27025 across multi-transaction billing scenarios</t>
  </si>
  <si>
    <t>Executed 15 test cases covering multiple transaction flows</t>
  </si>
  <si>
    <t>Analyzed, documented, and reported identified defect</t>
  </si>
  <si>
    <t>GPS-27894 logged with supporting test evidence</t>
  </si>
  <si>
    <t>GPS-27891 logged with supporting test evidence</t>
  </si>
  <si>
    <t>Smoke Test, Smoke Detail Execution in UAT,Smoke execution GPASSIT2,GPASTEST</t>
  </si>
  <si>
    <t>Retested and validated defect fix for GPS-27832</t>
  </si>
  <si>
    <t>Verified defect resolution and confirmed expected behavior</t>
  </si>
  <si>
    <t>Policy change scenario UAT test case(Test env)</t>
  </si>
  <si>
    <t>Policy change scenario UAT test case(TUAT env)</t>
  </si>
  <si>
    <t>Excel data fetch</t>
  </si>
  <si>
    <t>More filed as per requirement</t>
  </si>
  <si>
    <t>Internal demo catch up</t>
  </si>
  <si>
    <t>Clien demo catch up</t>
  </si>
  <si>
    <t>Demo prep</t>
  </si>
  <si>
    <t xml:space="preserve">Connected for snow flake aggresso data match </t>
  </si>
  <si>
    <t>Execution of test case</t>
  </si>
  <si>
    <t>IGAPP Regression</t>
  </si>
  <si>
    <t>IGAPP Regression gpastest</t>
  </si>
  <si>
    <t>IGAPP Regression UAT</t>
  </si>
  <si>
    <t>PO Demo GPS-27358</t>
  </si>
  <si>
    <t>Created exception flow and added broekr in s3</t>
  </si>
  <si>
    <t>internaldemo  GPS-27358</t>
  </si>
  <si>
    <t>Validated IGBCdocuement new helios property added in GPASSIT1,SIt2 and gapstest</t>
  </si>
  <si>
    <t>Executed hide and unhide after new build deployment</t>
  </si>
  <si>
    <t>Call with Vijay on UW Controls report</t>
  </si>
  <si>
    <t>Drafted Scenarios for UW Controls Reports</t>
  </si>
  <si>
    <t>4.50mins</t>
  </si>
  <si>
    <t>Drafter scenarios for 4 reports</t>
  </si>
  <si>
    <t>Connected with Anshu</t>
  </si>
  <si>
    <t>Connected with Vijay</t>
  </si>
  <si>
    <t>Client demo for PC flow</t>
  </si>
  <si>
    <t>Preapred the demo Scenarios for UW Control in TEST env</t>
  </si>
  <si>
    <t>Preapred the demo Scenarios for UW Control in SIT1 env</t>
  </si>
  <si>
    <t>Uploaded the TC on jira for GPS-26181</t>
  </si>
  <si>
    <t>Prepared demo Scenario with vertical Pricing for GPS-24113</t>
  </si>
  <si>
    <t>Prepared demo Scenario for UW control with 1-Over limit (Premium) of UW - Self declare
2.Invalid COB Code - attaching doc
3- LOA error - Self declare</t>
  </si>
  <si>
    <t>Uploaded the TC into jira and added with Test plan and Test execution</t>
  </si>
  <si>
    <t>Connected with Sridhar, Vamshi, and Share of confirmation on Defect GPS-27787 and GPS-27899</t>
  </si>
  <si>
    <t>Got the confirmation and clarity from Share, Vamshi and Sridhar so retested the defect in SIT1 and closed defect GPS-27787 and GPS-27899</t>
  </si>
  <si>
    <t>Retested  2 defect in TEST env for GPS-27787 and GPS-27899</t>
  </si>
  <si>
    <t>Retested 2 defect in TEST env for GPS-26763 and GPS-27537</t>
  </si>
  <si>
    <t>Prepared demo Scenario with vertical Pricing for GPS-24113 and BC checks</t>
  </si>
  <si>
    <t>Retested the defect in TEST env GPS-27787 and GPS-27899 and added the evidence in jira</t>
  </si>
  <si>
    <t>Retested the defect in TEST env GPS-26763 and GPS-27537and added the evidence in jira</t>
  </si>
  <si>
    <t>Created sample data for UW Control reports in SIT1</t>
  </si>
  <si>
    <t>Retested defects in 26.15 defects in TEST env</t>
  </si>
  <si>
    <t>Smoke Test in GPASSIT1,GPASSIT2</t>
  </si>
  <si>
    <t>Executed Pc to Bc  scenarios for all 20 flows in uat env</t>
  </si>
  <si>
    <t>Smoke Test, Smoke Detail Execution in GPASTEST</t>
  </si>
  <si>
    <t>Executed 9 smoke detail scenario NB runoff ,Runoff,Contra Policy Change and core BC flows along with smoke test in GPASTEST env</t>
  </si>
  <si>
    <t>Executed Pc to Bc  scenarios for all 20 flows in GpasTest env</t>
  </si>
  <si>
    <t>Validated Regression polcies loaded in BI Report</t>
  </si>
  <si>
    <t>Validated regression polices in BI Report</t>
  </si>
  <si>
    <t>Executed again TC for GPS-26181</t>
  </si>
  <si>
    <t>Executed 8 TC for GPS-26181</t>
  </si>
  <si>
    <t xml:space="preserve">Executed CM - TEST regression testing </t>
  </si>
  <si>
    <t>Retested and validated defect fix for GPS027894</t>
  </si>
  <si>
    <t>Retested and validated defect fix for GPS-27891</t>
  </si>
  <si>
    <t>Retested and validated defect fix for GPS-27669</t>
  </si>
  <si>
    <t xml:space="preserve">Executed GPS-27025 regression testing </t>
  </si>
  <si>
    <t>Executed validation using non coinsurance policies including Policy Change, Cancellation, and Reinstatement scenarios</t>
  </si>
  <si>
    <t>GPS-27845 defect discussion with Dev and validation in UAT</t>
  </si>
  <si>
    <t>Created data in SIT1 env by connecting with dev and Vijay for understanding</t>
  </si>
  <si>
    <t>this igappdefect had impact on all document related stories and defects</t>
  </si>
  <si>
    <t>Retested 5 defects in TEST environment</t>
  </si>
  <si>
    <t>OEP dates defect GPS-27895 discussion with dev and replication again in UAT</t>
  </si>
  <si>
    <t xml:space="preserve">Observation on Multiple OEP dates in GPASTest , raised defect GPS-27895, discussion with Dev </t>
  </si>
  <si>
    <t>JIRA Update of UAT Invoice regression</t>
  </si>
  <si>
    <t>Observation related to followers Invoice document generated for OEP coinsurance scenario in UAT, discussion with Dev and validation in GPASTest</t>
  </si>
  <si>
    <t>24 Invoice testcases executed in JIRA</t>
  </si>
  <si>
    <t>Demo preparation and Demo meeting for Invoice pdf comparator tool</t>
  </si>
  <si>
    <t>Had prepatory meetings with Ninad  and gave demo about PDF comparator tool to Alain</t>
  </si>
  <si>
    <t>Daily Standup,Beazley DSM and EOD call</t>
  </si>
  <si>
    <t>Retest of the defect GPS-27895 in SIT1 after fix and then retest again after code revert</t>
  </si>
  <si>
    <t>Retested multiple OEP dates defect fix in SIT1</t>
  </si>
  <si>
    <t>0.5 hrs</t>
  </si>
  <si>
    <t>Validated 24 Invoices in UAT regression</t>
  </si>
  <si>
    <t xml:space="preserve">UAT Invoice regression </t>
  </si>
  <si>
    <t>Observed Cancellation issue in Mgration Renewal scenario in UAT as well, discussion with Dev</t>
  </si>
  <si>
    <t>Execution of 76 testcases in JIRA for UAT Invoice regression</t>
  </si>
  <si>
    <t xml:space="preserve">GPS-27844 defect retested  - replicated in Gpassit1 </t>
  </si>
  <si>
    <t>Fix has not working as expected in Gpassit1 as well</t>
  </si>
  <si>
    <t>UAT compatibility testing</t>
  </si>
  <si>
    <t>Executed 42 Invoice testcases in JIRA</t>
  </si>
  <si>
    <t>GPS-27844 defect replicated with Dev in their local</t>
  </si>
  <si>
    <t>Validated all the tax names for Spanish tax translation for GPS-23744</t>
  </si>
  <si>
    <t>Executed 12 testcases for Tax ordering Integ story GPS-26923</t>
  </si>
  <si>
    <t>Executed testcases for German and French Tax translation Integ story GPS-27031</t>
  </si>
  <si>
    <t>2.5 hrs</t>
  </si>
  <si>
    <t>70+ Invoices validation from GPASTest regression</t>
  </si>
  <si>
    <t xml:space="preserve">Test Regression </t>
  </si>
  <si>
    <t>Client demo for insight flow</t>
  </si>
  <si>
    <t>Git HUb Code Push</t>
  </si>
  <si>
    <t>Github code merge</t>
  </si>
  <si>
    <t xml:space="preserve">checked aroung 17 policies from the previous release e2e and initiated &amp; completed subsequent transactions </t>
  </si>
  <si>
    <t>GPS-26609 user story regression execution in TEST environment</t>
  </si>
  <si>
    <t>Previous release defects retest - GPS-26280, GPS-24955, GPS-23981, GPS-23522</t>
  </si>
  <si>
    <t>around 6 policies tested and validated in Test environment</t>
  </si>
  <si>
    <t>Back dated data testing</t>
  </si>
  <si>
    <t>Total 4 defects retested and working as expected</t>
  </si>
  <si>
    <t>23,24,25,27,28,29,30,31,3</t>
  </si>
  <si>
    <t>4th Leave</t>
  </si>
  <si>
    <t>Total 4 e2e scenarios tested in Test environment</t>
  </si>
  <si>
    <t>Executed 5 Test cases from GPS-26181 User Story</t>
  </si>
  <si>
    <t>GPS-26609 Test Cases uploaded manually as bulk upload is not working properly</t>
  </si>
  <si>
    <t>GPS-26609 Test Cases uploaded manually</t>
  </si>
  <si>
    <t>GPS-27899 Defect raised for GPS-26181 Connected with dev for explanation and replication</t>
  </si>
  <si>
    <t>Previous release S1,S2 defects regression</t>
  </si>
  <si>
    <t>GPS-26609 User Story Regression</t>
  </si>
  <si>
    <t>Discussion on the Impact of Aggresso Payments</t>
  </si>
  <si>
    <t>Completed the review and correction of test cases and uploaded the finalized versions to Jira.</t>
  </si>
  <si>
    <t>GPS-27025 - Hide/Unhide document: Reviewed, upload, and Jira cleanup completed.</t>
  </si>
  <si>
    <t>GPS-26959 - Tax Order: Reviewed, upload, and Jira cleanup completed.</t>
  </si>
  <si>
    <t>Permission</t>
  </si>
  <si>
    <t>IGapp testing 4 scenarios</t>
  </si>
  <si>
    <t>2 scenarios when updating in mdm and same should reflect in PC</t>
  </si>
  <si>
    <t>Cross verified all the IGAPPS 10 testcases executed and passed in Jira</t>
  </si>
  <si>
    <t>For 4 scenarios created data setup in gpasstest</t>
  </si>
  <si>
    <t>Created data from CRM and validate it reaches to PC(GPS-27358) and cheked in swagger</t>
  </si>
  <si>
    <t>Helped Sandeep for uploading the TC for GPS-27025</t>
  </si>
  <si>
    <t xml:space="preserve">Executed 9 TC for GPS-26181 in TEST env </t>
  </si>
  <si>
    <t>Now Total 23 Pass(15 me did, 8 TC Pavan did), 8 Fail out of 31 TC, updated jira also with evidence</t>
  </si>
  <si>
    <t xml:space="preserve">Sapna Pulled one call with Mallika for UW Conversion currency defect GPS-27050 </t>
  </si>
  <si>
    <t>Helped Sandeep for Uploading the TC on jira</t>
  </si>
  <si>
    <t xml:space="preserve">Preapred the demo Scenarios for GPS-24113 </t>
  </si>
  <si>
    <t>BC Elaboration - Payment Creation &amp; Invoice allocation in BC based on Agresso 100% allocation payment file feed</t>
  </si>
  <si>
    <t>BC Elaboration - Meeting</t>
  </si>
  <si>
    <t>Handover of GPS-27349- Change Revised Due Date in Invoices to Past Date in BillingCenter</t>
  </si>
  <si>
    <t>Handover of GPS-27349</t>
  </si>
  <si>
    <t>GROUP MANDATORY - Data Protection - Capgemini Compliance</t>
  </si>
  <si>
    <t>GPS-24113--4 Scenarios</t>
  </si>
  <si>
    <t>GEN AI learning path</t>
  </si>
  <si>
    <t>OCEAN Asseessment</t>
  </si>
  <si>
    <t>Client demo catch up</t>
  </si>
  <si>
    <t>Copilot learning -agent creation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</si>
</sst>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14009]hh:mm;@"/>
    <numFmt numFmtId="166" formatCode="[$-14009]h:mm;@"/>
  </numFmts>
  <fonts count="17" x14ac:knownFonts="1">
    <font>
      <sz val="11"/>
      <color theme="1"/>
      <name val="Aptos Narrow"/>
      <family val="2"/>
      <scheme val="minor"/>
    </font>
    <font>
      <b/>
      <sz val="11"/>
      <color theme="1"/>
      <name val="Aptos Narrow"/>
      <family val="2"/>
      <scheme val="minor"/>
    </font>
    <font>
      <sz val="11"/>
      <color theme="1"/>
      <name val="Segoe UI"/>
      <family val="2"/>
    </font>
    <font>
      <sz val="11"/>
      <color rgb="FF242424"/>
      <name val="Aptos Narrow"/>
      <family val="2"/>
    </font>
    <font>
      <sz val="11"/>
      <color theme="1"/>
      <name val="Segoe UI"/>
      <charset val="1"/>
    </font>
    <font>
      <sz val="11"/>
      <color rgb="FF242424"/>
      <name val="Aptos Narrow"/>
    </font>
    <font>
      <u/>
      <sz val="11"/>
      <color theme="10"/>
      <name val="Aptos Narrow"/>
      <family val="2"/>
      <scheme val="minor"/>
    </font>
    <font>
      <sz val="11"/>
      <color rgb="FF242424"/>
      <name val="Aptos Narrow"/>
      <charset val="1"/>
    </font>
    <font>
      <sz val="11"/>
      <color rgb="FF000000"/>
      <name val="Aptos Narrow"/>
      <charset val="1"/>
    </font>
    <font>
      <sz val="11"/>
      <color rgb="FF000000"/>
      <name val="Aptos Narrow"/>
      <family val="2"/>
    </font>
    <font>
      <b/>
      <sz val="11"/>
      <color theme="0"/>
      <name val="Aptos Narrow"/>
      <family val="2"/>
      <scheme val="minor"/>
    </font>
    <font>
      <sz val="11"/>
      <color theme="0"/>
      <name val="Aptos Narrow"/>
      <family val="2"/>
      <scheme val="minor"/>
    </font>
    <font>
      <sz val="9"/>
      <color indexed="81"/>
      <name val="Tahoma"/>
      <family val="2"/>
    </font>
    <font>
      <sz val="11"/>
      <color rgb="FF000000"/>
      <name val="Aptos Narrow"/>
      <family val="2"/>
      <scheme val="minor"/>
    </font>
    <font>
      <b/>
      <sz val="9"/>
      <color rgb="FF242424"/>
      <name val="Segoe UI"/>
    </font>
    <font>
      <sz val="11"/>
      <color theme="1"/>
      <name val="Aptos Narrow"/>
      <family val="2"/>
      <scheme val="minor"/>
    </font>
    <font>
      <b/>
      <sz val="9"/>
      <color indexed="81"/>
      <name val="Tahoma"/>
      <family val="2"/>
    </font>
  </fonts>
  <fills count="12">
    <fill>
      <patternFill patternType="none"/>
    </fill>
    <fill>
      <patternFill patternType="gray125"/>
    </fill>
    <fill>
      <patternFill patternType="solid">
        <fgColor theme="3" tint="0.89999084444715716"/>
        <bgColor indexed="64"/>
      </patternFill>
    </fill>
    <fill>
      <patternFill patternType="solid">
        <fgColor theme="4" tint="0.79998168889431442"/>
        <bgColor indexed="64"/>
      </patternFill>
    </fill>
    <fill>
      <patternFill patternType="solid">
        <fgColor rgb="FFFFFF00"/>
        <bgColor indexed="64"/>
      </patternFill>
    </fill>
    <fill>
      <patternFill patternType="solid">
        <fgColor theme="0"/>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5" tint="0.59999389629810485"/>
        <bgColor indexed="64"/>
      </patternFill>
    </fill>
    <fill>
      <patternFill patternType="solid">
        <fgColor theme="5"/>
        <bgColor indexed="64"/>
      </patternFill>
    </fill>
    <fill>
      <patternFill patternType="solid">
        <fgColor theme="2"/>
        <bgColor indexed="64"/>
      </patternFill>
    </fill>
    <fill>
      <patternFill patternType="solid">
        <fgColor theme="6" tint="0.79998168889431442"/>
        <bgColor indexed="64"/>
      </patternFill>
    </fill>
  </fills>
  <borders count="10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bottom style="thin">
        <color rgb="FF000000"/>
      </bottom>
      <diagonal/>
    </border>
    <border>
      <left/>
      <right style="thin">
        <color indexed="64"/>
      </right>
      <top style="thin">
        <color rgb="FF000000"/>
      </top>
      <bottom/>
      <diagonal/>
    </border>
    <border>
      <left/>
      <right style="thin">
        <color indexed="64"/>
      </right>
      <top/>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thin">
        <color indexed="64"/>
      </left>
      <right/>
      <top style="thin">
        <color indexed="64"/>
      </top>
      <bottom style="medium">
        <color rgb="FF000000"/>
      </bottom>
      <diagonal/>
    </border>
    <border>
      <left style="medium">
        <color rgb="FF000000"/>
      </left>
      <right style="thin">
        <color indexed="64"/>
      </right>
      <top style="medium">
        <color rgb="FF000000"/>
      </top>
      <bottom style="thin">
        <color indexed="64"/>
      </bottom>
      <diagonal/>
    </border>
    <border>
      <left style="thin">
        <color indexed="64"/>
      </left>
      <right style="thin">
        <color indexed="64"/>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medium">
        <color rgb="FF000000"/>
      </left>
      <right style="thin">
        <color indexed="64"/>
      </right>
      <top style="thin">
        <color indexed="64"/>
      </top>
      <bottom style="thin">
        <color indexed="64"/>
      </bottom>
      <diagonal/>
    </border>
    <border>
      <left style="thin">
        <color indexed="64"/>
      </left>
      <right style="medium">
        <color rgb="FF000000"/>
      </right>
      <top style="thin">
        <color indexed="64"/>
      </top>
      <bottom style="thin">
        <color indexed="64"/>
      </bottom>
      <diagonal/>
    </border>
    <border>
      <left style="medium">
        <color rgb="FF000000"/>
      </left>
      <right style="thin">
        <color indexed="64"/>
      </right>
      <top style="thin">
        <color indexed="64"/>
      </top>
      <bottom style="medium">
        <color rgb="FF000000"/>
      </bottom>
      <diagonal/>
    </border>
    <border>
      <left style="thin">
        <color indexed="64"/>
      </left>
      <right style="medium">
        <color rgb="FF000000"/>
      </right>
      <top style="thin">
        <color indexed="64"/>
      </top>
      <bottom style="medium">
        <color rgb="FF000000"/>
      </bottom>
      <diagonal/>
    </border>
    <border>
      <left/>
      <right style="medium">
        <color rgb="FF000000"/>
      </right>
      <top style="medium">
        <color rgb="FF000000"/>
      </top>
      <bottom/>
      <diagonal/>
    </border>
    <border>
      <left/>
      <right style="medium">
        <color rgb="FF000000"/>
      </right>
      <top/>
      <bottom/>
      <diagonal/>
    </border>
    <border>
      <left/>
      <right style="medium">
        <color rgb="FF000000"/>
      </right>
      <top/>
      <bottom style="medium">
        <color rgb="FF000000"/>
      </bottom>
      <diagonal/>
    </border>
    <border>
      <left style="thin">
        <color rgb="FF000000"/>
      </left>
      <right/>
      <top/>
      <bottom style="thin">
        <color rgb="FF000000"/>
      </bottom>
      <diagonal/>
    </border>
    <border>
      <left style="thin">
        <color indexed="64"/>
      </left>
      <right/>
      <top style="medium">
        <color rgb="FF000000"/>
      </top>
      <bottom style="thin">
        <color indexed="64"/>
      </bottom>
      <diagonal/>
    </border>
    <border>
      <left/>
      <right/>
      <top style="thin">
        <color indexed="64"/>
      </top>
      <bottom/>
      <diagonal/>
    </border>
    <border>
      <left/>
      <right/>
      <top/>
      <bottom style="thin">
        <color rgb="FF000000"/>
      </bottom>
      <diagonal/>
    </border>
    <border>
      <left style="thin">
        <color indexed="64"/>
      </left>
      <right style="thin">
        <color indexed="64"/>
      </right>
      <top style="medium">
        <color rgb="FF000000"/>
      </top>
      <bottom/>
      <diagonal/>
    </border>
    <border>
      <left style="thin">
        <color indexed="64"/>
      </left>
      <right style="thin">
        <color indexed="64"/>
      </right>
      <top/>
      <bottom style="medium">
        <color rgb="FF000000"/>
      </bottom>
      <diagonal/>
    </border>
    <border>
      <left style="medium">
        <color rgb="FF000000"/>
      </left>
      <right style="thin">
        <color indexed="64"/>
      </right>
      <top style="medium">
        <color rgb="FF000000"/>
      </top>
      <bottom/>
      <diagonal/>
    </border>
    <border>
      <left style="medium">
        <color rgb="FF000000"/>
      </left>
      <right style="thin">
        <color indexed="64"/>
      </right>
      <top/>
      <bottom/>
      <diagonal/>
    </border>
    <border>
      <left style="medium">
        <color rgb="FF000000"/>
      </left>
      <right style="thin">
        <color indexed="64"/>
      </right>
      <top/>
      <bottom style="medium">
        <color rgb="FF000000"/>
      </bottom>
      <diagonal/>
    </border>
    <border>
      <left style="thin">
        <color indexed="64"/>
      </left>
      <right style="medium">
        <color rgb="FF000000"/>
      </right>
      <top style="thin">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rgb="FF000000"/>
      </left>
      <right/>
      <top style="thin">
        <color rgb="FF000000"/>
      </top>
      <bottom/>
      <diagonal/>
    </border>
    <border>
      <left style="thin">
        <color rgb="FF000000"/>
      </left>
      <right/>
      <top/>
      <bottom/>
      <diagonal/>
    </border>
    <border>
      <left style="medium">
        <color rgb="FF000000"/>
      </left>
      <right/>
      <top style="medium">
        <color rgb="FF000000"/>
      </top>
      <bottom/>
      <diagonal/>
    </border>
    <border>
      <left style="thin">
        <color rgb="FF000000"/>
      </left>
      <right style="thin">
        <color rgb="FF000000"/>
      </right>
      <top style="medium">
        <color rgb="FF000000"/>
      </top>
      <bottom style="thin">
        <color rgb="FF000000"/>
      </bottom>
      <diagonal/>
    </border>
    <border>
      <left style="medium">
        <color rgb="FF000000"/>
      </left>
      <right/>
      <top/>
      <bottom/>
      <diagonal/>
    </border>
    <border>
      <left style="thin">
        <color rgb="FF000000"/>
      </left>
      <right style="medium">
        <color rgb="FF000000"/>
      </right>
      <top style="thin">
        <color rgb="FF000000"/>
      </top>
      <bottom style="thin">
        <color rgb="FF000000"/>
      </bottom>
      <diagonal/>
    </border>
    <border>
      <left style="medium">
        <color rgb="FF000000"/>
      </left>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style="thin">
        <color indexed="64"/>
      </right>
      <top style="thin">
        <color indexed="64"/>
      </top>
      <bottom/>
      <diagonal/>
    </border>
    <border>
      <left/>
      <right style="thin">
        <color rgb="FF000000"/>
      </right>
      <top style="thin">
        <color rgb="FF000000"/>
      </top>
      <bottom style="thin">
        <color rgb="FF000000"/>
      </bottom>
      <diagonal/>
    </border>
    <border>
      <left style="medium">
        <color rgb="FF000000"/>
      </left>
      <right style="thin">
        <color indexed="64"/>
      </right>
      <top style="thin">
        <color indexed="64"/>
      </top>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top style="medium">
        <color rgb="FF000000"/>
      </top>
      <bottom/>
      <diagonal/>
    </border>
    <border>
      <left/>
      <right/>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thin">
        <color rgb="FF000000"/>
      </right>
      <top style="thin">
        <color rgb="FF000000"/>
      </top>
      <bottom style="medium">
        <color rgb="FF000000"/>
      </bottom>
      <diagonal/>
    </border>
    <border>
      <left style="medium">
        <color rgb="FF000000"/>
      </left>
      <right style="thin">
        <color rgb="FF000000"/>
      </right>
      <top style="medium">
        <color rgb="FF000000"/>
      </top>
      <bottom/>
      <diagonal/>
    </border>
    <border>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right style="medium">
        <color rgb="FF000000"/>
      </right>
      <top style="thin">
        <color rgb="FF000000"/>
      </top>
      <bottom style="thin">
        <color rgb="FF000000"/>
      </bottom>
      <diagonal/>
    </border>
    <border>
      <left/>
      <right style="medium">
        <color rgb="FF000000"/>
      </right>
      <top style="thin">
        <color rgb="FF000000"/>
      </top>
      <bottom style="medium">
        <color rgb="FF000000"/>
      </bottom>
      <diagonal/>
    </border>
    <border>
      <left/>
      <right style="thin">
        <color indexed="64"/>
      </right>
      <top style="medium">
        <color rgb="FF000000"/>
      </top>
      <bottom style="thin">
        <color indexed="64"/>
      </bottom>
      <diagonal/>
    </border>
    <border>
      <left style="thin">
        <color rgb="FF000000"/>
      </left>
      <right style="thin">
        <color indexed="64"/>
      </right>
      <top style="thin">
        <color indexed="64"/>
      </top>
      <bottom/>
      <diagonal/>
    </border>
    <border>
      <left/>
      <right style="medium">
        <color rgb="FF000000"/>
      </right>
      <top style="medium">
        <color rgb="FF000000"/>
      </top>
      <bottom style="thin">
        <color indexed="64"/>
      </bottom>
      <diagonal/>
    </border>
    <border>
      <left/>
      <right style="medium">
        <color rgb="FF000000"/>
      </right>
      <top style="thin">
        <color indexed="64"/>
      </top>
      <bottom style="thin">
        <color indexed="64"/>
      </bottom>
      <diagonal/>
    </border>
    <border>
      <left/>
      <right style="medium">
        <color rgb="FF000000"/>
      </right>
      <top style="thin">
        <color indexed="64"/>
      </top>
      <bottom/>
      <diagonal/>
    </border>
    <border>
      <left/>
      <right/>
      <top style="thin">
        <color rgb="FF000000"/>
      </top>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style="thin">
        <color rgb="FF000000"/>
      </left>
      <right style="thin">
        <color rgb="FF000000"/>
      </right>
      <top style="thin">
        <color indexed="64"/>
      </top>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right style="thin">
        <color rgb="FF000000"/>
      </right>
      <top style="thin">
        <color rgb="FF000000"/>
      </top>
      <bottom/>
      <diagonal/>
    </border>
    <border>
      <left style="thin">
        <color rgb="FF000000"/>
      </left>
      <right style="thin">
        <color indexed="64"/>
      </right>
      <top/>
      <bottom/>
      <diagonal/>
    </border>
    <border>
      <left style="thin">
        <color rgb="FF000000"/>
      </left>
      <right style="thin">
        <color indexed="64"/>
      </right>
      <top style="thin">
        <color rgb="FF000000"/>
      </top>
      <bottom/>
      <diagonal/>
    </border>
    <border>
      <left style="medium">
        <color rgb="FF000000"/>
      </left>
      <right style="thin">
        <color rgb="FF000000"/>
      </right>
      <top/>
      <bottom/>
      <diagonal/>
    </border>
    <border>
      <left style="medium">
        <color rgb="FF000000"/>
      </left>
      <right style="thin">
        <color rgb="FF000000"/>
      </right>
      <top/>
      <bottom style="medium">
        <color rgb="FF000000"/>
      </bottom>
      <diagonal/>
    </border>
    <border>
      <left/>
      <right/>
      <top style="thin">
        <color rgb="FF000000"/>
      </top>
      <bottom style="thin">
        <color rgb="FF000000"/>
      </bottom>
      <diagonal/>
    </border>
    <border>
      <left/>
      <right/>
      <top style="thin">
        <color rgb="FF000000"/>
      </top>
      <bottom style="medium">
        <color rgb="FF000000"/>
      </bottom>
      <diagonal/>
    </border>
    <border>
      <left style="thin">
        <color rgb="FF000000"/>
      </left>
      <right style="thin">
        <color rgb="FF000000"/>
      </right>
      <top/>
      <bottom style="thin">
        <color indexed="64"/>
      </bottom>
      <diagonal/>
    </border>
    <border>
      <left/>
      <right/>
      <top style="thin">
        <color indexed="64"/>
      </top>
      <bottom style="thin">
        <color indexed="64"/>
      </bottom>
      <diagonal/>
    </border>
    <border>
      <left style="medium">
        <color rgb="FF000000"/>
      </left>
      <right/>
      <top style="medium">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style="medium">
        <color rgb="FF000000"/>
      </bottom>
      <diagonal/>
    </border>
    <border>
      <left/>
      <right/>
      <top style="medium">
        <color rgb="FF000000"/>
      </top>
      <bottom style="thin">
        <color rgb="FF000000"/>
      </bottom>
      <diagonal/>
    </border>
  </borders>
  <cellStyleXfs count="2">
    <xf numFmtId="0" fontId="0" fillId="0" borderId="0"/>
    <xf numFmtId="0" fontId="6" fillId="0" borderId="0" applyNumberFormat="0" applyFill="0" applyBorder="0" applyAlignment="0" applyProtection="0"/>
  </cellStyleXfs>
  <cellXfs count="563">
    <xf numFmtId="0" fontId="0" fillId="0" borderId="0" xfId="0"/>
    <xf numFmtId="0" fontId="1" fillId="2" borderId="1" xfId="0" applyFont="1" applyFill="1" applyBorder="1"/>
    <xf numFmtId="0" fontId="1" fillId="2" borderId="1" xfId="0" applyFont="1" applyFill="1" applyBorder="1" applyAlignment="1">
      <alignment wrapText="1"/>
    </xf>
    <xf numFmtId="0" fontId="0" fillId="0" borderId="1" xfId="0" applyBorder="1"/>
    <xf numFmtId="0" fontId="0" fillId="0" borderId="1" xfId="0" applyBorder="1" applyAlignment="1">
      <alignment horizontal="center" vertical="center"/>
    </xf>
    <xf numFmtId="16" fontId="0" fillId="3" borderId="1" xfId="0" applyNumberFormat="1" applyFill="1" applyBorder="1"/>
    <xf numFmtId="0" fontId="0" fillId="3" borderId="1" xfId="0" applyFill="1" applyBorder="1"/>
    <xf numFmtId="0" fontId="0" fillId="3" borderId="1" xfId="0" applyFill="1" applyBorder="1" applyAlignment="1">
      <alignment horizontal="center" vertical="center"/>
    </xf>
    <xf numFmtId="0" fontId="0" fillId="3" borderId="4" xfId="0" applyFill="1" applyBorder="1" applyAlignment="1">
      <alignment horizontal="center" vertical="center"/>
    </xf>
    <xf numFmtId="0" fontId="1" fillId="0" borderId="1" xfId="0" applyFont="1" applyBorder="1"/>
    <xf numFmtId="0" fontId="1" fillId="4" borderId="1" xfId="0" applyFont="1" applyFill="1" applyBorder="1"/>
    <xf numFmtId="0" fontId="1" fillId="4" borderId="1" xfId="0" applyFont="1" applyFill="1" applyBorder="1" applyAlignment="1">
      <alignment horizontal="center" vertical="center"/>
    </xf>
    <xf numFmtId="0" fontId="0" fillId="4" borderId="1" xfId="0" applyFill="1" applyBorder="1"/>
    <xf numFmtId="0" fontId="0" fillId="4" borderId="1" xfId="0" applyFill="1" applyBorder="1" applyAlignment="1">
      <alignment horizontal="center" vertical="center"/>
    </xf>
    <xf numFmtId="0" fontId="1" fillId="0" borderId="1" xfId="0" applyFont="1" applyBorder="1" applyAlignment="1">
      <alignment wrapText="1"/>
    </xf>
    <xf numFmtId="0" fontId="0" fillId="0" borderId="1" xfId="0" applyBorder="1" applyAlignment="1">
      <alignment wrapText="1"/>
    </xf>
    <xf numFmtId="0" fontId="1" fillId="2" borderId="1" xfId="0" applyFont="1" applyFill="1" applyBorder="1" applyAlignment="1">
      <alignment horizontal="left" vertical="top" wrapText="1"/>
    </xf>
    <xf numFmtId="0" fontId="0" fillId="0" borderId="1" xfId="0" applyBorder="1" applyAlignment="1">
      <alignment horizontal="left" vertical="top" wrapText="1"/>
    </xf>
    <xf numFmtId="0" fontId="0" fillId="0" borderId="0" xfId="0" applyAlignment="1">
      <alignment horizontal="left" vertical="top" wrapText="1"/>
    </xf>
    <xf numFmtId="0" fontId="1" fillId="4" borderId="1" xfId="0" applyFont="1" applyFill="1" applyBorder="1" applyAlignment="1">
      <alignment horizontal="left" vertical="top" wrapText="1"/>
    </xf>
    <xf numFmtId="16" fontId="0" fillId="3" borderId="1" xfId="0" applyNumberFormat="1" applyFill="1" applyBorder="1" applyAlignment="1">
      <alignment horizontal="left" vertical="top" wrapText="1"/>
    </xf>
    <xf numFmtId="0" fontId="0" fillId="3" borderId="1" xfId="0" applyFill="1" applyBorder="1" applyAlignment="1">
      <alignment horizontal="left" vertical="top" wrapText="1"/>
    </xf>
    <xf numFmtId="0" fontId="0" fillId="4" borderId="1" xfId="0" applyFill="1" applyBorder="1" applyAlignment="1">
      <alignment horizontal="left" vertical="top" wrapText="1"/>
    </xf>
    <xf numFmtId="0" fontId="0" fillId="0" borderId="5" xfId="0" applyBorder="1" applyAlignment="1">
      <alignment horizontal="center" vertical="center"/>
    </xf>
    <xf numFmtId="0" fontId="0" fillId="0" borderId="6" xfId="0" applyBorder="1"/>
    <xf numFmtId="0" fontId="0" fillId="0" borderId="2" xfId="0" applyBorder="1" applyAlignment="1">
      <alignment horizontal="center" vertical="center"/>
    </xf>
    <xf numFmtId="0" fontId="0" fillId="0" borderId="4" xfId="0" applyBorder="1" applyAlignment="1">
      <alignment horizontal="center" vertical="center"/>
    </xf>
    <xf numFmtId="0" fontId="0" fillId="0" borderId="0" xfId="0" applyAlignment="1">
      <alignment horizontal="center" vertical="center"/>
    </xf>
    <xf numFmtId="0" fontId="0" fillId="0" borderId="7" xfId="0" applyBorder="1" applyAlignment="1">
      <alignment horizontal="center" vertical="center"/>
    </xf>
    <xf numFmtId="0" fontId="0" fillId="3" borderId="5" xfId="0" applyFill="1" applyBorder="1"/>
    <xf numFmtId="0" fontId="0" fillId="0" borderId="8" xfId="0" applyBorder="1" applyAlignment="1">
      <alignment horizontal="center" vertical="center"/>
    </xf>
    <xf numFmtId="0" fontId="0" fillId="4" borderId="2" xfId="0" applyFill="1" applyBorder="1" applyAlignment="1">
      <alignment horizontal="center" vertical="center"/>
    </xf>
    <xf numFmtId="0" fontId="0" fillId="0" borderId="5" xfId="0" applyBorder="1"/>
    <xf numFmtId="0" fontId="0" fillId="5" borderId="5" xfId="0" applyFill="1" applyBorder="1"/>
    <xf numFmtId="0" fontId="2" fillId="0" borderId="0" xfId="0" applyFont="1"/>
    <xf numFmtId="16" fontId="0" fillId="0" borderId="1" xfId="0" applyNumberFormat="1" applyBorder="1"/>
    <xf numFmtId="0" fontId="0" fillId="3" borderId="1" xfId="0" applyFill="1" applyBorder="1" applyAlignment="1">
      <alignment wrapText="1"/>
    </xf>
    <xf numFmtId="0" fontId="0" fillId="0" borderId="2" xfId="0" applyBorder="1" applyAlignment="1">
      <alignment horizontal="left" vertical="top" wrapText="1"/>
    </xf>
    <xf numFmtId="0" fontId="0" fillId="0" borderId="6" xfId="0" applyBorder="1" applyAlignment="1">
      <alignment horizontal="left" vertical="top" wrapText="1"/>
    </xf>
    <xf numFmtId="0" fontId="0" fillId="0" borderId="4" xfId="0" applyBorder="1" applyAlignment="1">
      <alignment horizontal="left" vertical="top" wrapText="1"/>
    </xf>
    <xf numFmtId="0" fontId="0" fillId="0" borderId="1" xfId="0" applyBorder="1" applyAlignment="1">
      <alignment horizontal="center"/>
    </xf>
    <xf numFmtId="16" fontId="0" fillId="0" borderId="7" xfId="0" applyNumberFormat="1" applyBorder="1"/>
    <xf numFmtId="0" fontId="0" fillId="0" borderId="7" xfId="0" applyBorder="1"/>
    <xf numFmtId="0" fontId="0" fillId="4" borderId="2" xfId="0" applyFill="1" applyBorder="1"/>
    <xf numFmtId="0" fontId="0" fillId="5" borderId="7" xfId="0" applyFill="1" applyBorder="1" applyAlignment="1">
      <alignment horizontal="center" vertical="center"/>
    </xf>
    <xf numFmtId="0" fontId="0" fillId="5" borderId="7" xfId="0" applyFill="1" applyBorder="1"/>
    <xf numFmtId="0" fontId="0" fillId="3" borderId="1" xfId="0" applyFill="1" applyBorder="1" applyAlignment="1">
      <alignment horizontal="center"/>
    </xf>
    <xf numFmtId="0" fontId="1" fillId="0" borderId="2" xfId="0" applyFont="1" applyBorder="1"/>
    <xf numFmtId="0" fontId="0" fillId="0" borderId="2" xfId="0" applyBorder="1"/>
    <xf numFmtId="16" fontId="0" fillId="0" borderId="16" xfId="0" applyNumberFormat="1" applyBorder="1"/>
    <xf numFmtId="0" fontId="0" fillId="0" borderId="17" xfId="0" applyBorder="1"/>
    <xf numFmtId="0" fontId="0" fillId="0" borderId="17" xfId="0" applyBorder="1" applyAlignment="1">
      <alignment horizontal="center" vertical="center"/>
    </xf>
    <xf numFmtId="0" fontId="0" fillId="0" borderId="19" xfId="0" applyBorder="1"/>
    <xf numFmtId="16" fontId="0" fillId="0" borderId="20" xfId="0" applyNumberFormat="1" applyBorder="1"/>
    <xf numFmtId="0" fontId="0" fillId="0" borderId="21" xfId="0" applyBorder="1"/>
    <xf numFmtId="16" fontId="0" fillId="0" borderId="22" xfId="0" applyNumberFormat="1" applyBorder="1"/>
    <xf numFmtId="0" fontId="0" fillId="0" borderId="23" xfId="0" applyBorder="1" applyAlignment="1">
      <alignment wrapText="1"/>
    </xf>
    <xf numFmtId="0" fontId="0" fillId="0" borderId="23" xfId="0" applyBorder="1" applyAlignment="1">
      <alignment horizontal="center" vertical="center"/>
    </xf>
    <xf numFmtId="0" fontId="0" fillId="0" borderId="25" xfId="0" applyBorder="1"/>
    <xf numFmtId="0" fontId="0" fillId="0" borderId="23" xfId="0" applyBorder="1"/>
    <xf numFmtId="0" fontId="0" fillId="0" borderId="26" xfId="0" applyBorder="1" applyAlignment="1">
      <alignment horizontal="left" vertical="top" wrapText="1"/>
    </xf>
    <xf numFmtId="0" fontId="0" fillId="0" borderId="9" xfId="0" applyBorder="1" applyAlignment="1">
      <alignment horizontal="center" vertical="center"/>
    </xf>
    <xf numFmtId="0" fontId="0" fillId="0" borderId="5" xfId="0" applyBorder="1" applyAlignment="1">
      <alignment horizontal="left" vertical="top" wrapText="1"/>
    </xf>
    <xf numFmtId="0" fontId="0" fillId="0" borderId="30" xfId="0" applyBorder="1" applyAlignment="1">
      <alignment horizontal="left" vertical="top" wrapText="1"/>
    </xf>
    <xf numFmtId="0" fontId="0" fillId="0" borderId="31" xfId="0" applyBorder="1" applyAlignment="1">
      <alignment horizontal="left" vertical="top" wrapText="1"/>
    </xf>
    <xf numFmtId="0" fontId="0" fillId="0" borderId="32" xfId="0" applyBorder="1" applyAlignment="1">
      <alignment horizontal="left" vertical="top" wrapText="1"/>
    </xf>
    <xf numFmtId="0" fontId="0" fillId="0" borderId="33" xfId="0" applyBorder="1" applyAlignment="1">
      <alignment horizontal="left" vertical="top" wrapText="1"/>
    </xf>
    <xf numFmtId="0" fontId="0" fillId="0" borderId="34" xfId="0" applyBorder="1" applyAlignment="1">
      <alignment horizontal="left" vertical="top" wrapText="1"/>
    </xf>
    <xf numFmtId="0" fontId="0" fillId="0" borderId="35" xfId="0" applyBorder="1" applyAlignment="1">
      <alignment horizontal="left" vertical="top" wrapText="1"/>
    </xf>
    <xf numFmtId="0" fontId="0" fillId="0" borderId="36" xfId="0" applyBorder="1" applyAlignment="1">
      <alignment horizontal="left" vertical="top" wrapText="1"/>
    </xf>
    <xf numFmtId="0" fontId="0" fillId="0" borderId="37" xfId="0" applyBorder="1" applyAlignment="1">
      <alignment horizontal="left" vertical="top" wrapText="1"/>
    </xf>
    <xf numFmtId="0" fontId="1" fillId="0" borderId="2" xfId="0" applyFont="1" applyBorder="1" applyAlignment="1">
      <alignment horizontal="left" vertical="top"/>
    </xf>
    <xf numFmtId="0" fontId="0" fillId="0" borderId="42" xfId="0" applyBorder="1" applyAlignment="1">
      <alignment horizontal="left" vertical="top" wrapText="1"/>
    </xf>
    <xf numFmtId="0" fontId="0" fillId="0" borderId="7" xfId="0" applyBorder="1" applyAlignment="1">
      <alignment horizontal="center"/>
    </xf>
    <xf numFmtId="16" fontId="0" fillId="0" borderId="2" xfId="0" applyNumberFormat="1" applyBorder="1"/>
    <xf numFmtId="0" fontId="1" fillId="2" borderId="0" xfId="0" applyFont="1" applyFill="1"/>
    <xf numFmtId="0" fontId="1" fillId="4" borderId="0" xfId="0" applyFont="1" applyFill="1"/>
    <xf numFmtId="0" fontId="0" fillId="3" borderId="0" xfId="0" applyFill="1"/>
    <xf numFmtId="0" fontId="0" fillId="4" borderId="0" xfId="0" applyFill="1"/>
    <xf numFmtId="0" fontId="0" fillId="0" borderId="32" xfId="0" applyBorder="1"/>
    <xf numFmtId="0" fontId="0" fillId="0" borderId="32" xfId="0" applyBorder="1" applyAlignment="1">
      <alignment horizontal="center" vertical="center"/>
    </xf>
    <xf numFmtId="0" fontId="0" fillId="0" borderId="33" xfId="0" applyBorder="1"/>
    <xf numFmtId="0" fontId="0" fillId="0" borderId="35" xfId="0" applyBorder="1"/>
    <xf numFmtId="0" fontId="0" fillId="0" borderId="26" xfId="0" applyBorder="1"/>
    <xf numFmtId="0" fontId="0" fillId="0" borderId="26" xfId="0" applyBorder="1" applyAlignment="1">
      <alignment horizontal="center" vertical="center"/>
    </xf>
    <xf numFmtId="0" fontId="0" fillId="0" borderId="37" xfId="0" applyBorder="1"/>
    <xf numFmtId="0" fontId="0" fillId="0" borderId="50" xfId="0" applyBorder="1"/>
    <xf numFmtId="0" fontId="0" fillId="3" borderId="2" xfId="0" applyFill="1" applyBorder="1" applyAlignment="1">
      <alignment horizontal="center" vertical="center"/>
    </xf>
    <xf numFmtId="0" fontId="0" fillId="3" borderId="7" xfId="0" applyFill="1" applyBorder="1" applyAlignment="1">
      <alignment horizontal="center"/>
    </xf>
    <xf numFmtId="0" fontId="0" fillId="3" borderId="2" xfId="0" applyFill="1" applyBorder="1" applyAlignment="1">
      <alignment horizontal="center"/>
    </xf>
    <xf numFmtId="14" fontId="0" fillId="0" borderId="1" xfId="0" applyNumberFormat="1" applyBorder="1"/>
    <xf numFmtId="0" fontId="4" fillId="0" borderId="0" xfId="0" applyFont="1" applyAlignment="1">
      <alignment wrapText="1"/>
    </xf>
    <xf numFmtId="0" fontId="0" fillId="3" borderId="51" xfId="0" applyFill="1" applyBorder="1" applyAlignment="1">
      <alignment horizontal="center" vertical="center"/>
    </xf>
    <xf numFmtId="0" fontId="0" fillId="0" borderId="7" xfId="0" applyBorder="1" applyAlignment="1">
      <alignment horizontal="left" vertical="top" wrapText="1"/>
    </xf>
    <xf numFmtId="0" fontId="0" fillId="0" borderId="0" xfId="0" applyAlignment="1">
      <alignment horizontal="center"/>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2" xfId="0" applyBorder="1" applyAlignment="1">
      <alignment horizontal="center" vertical="center" wrapText="1"/>
    </xf>
    <xf numFmtId="0" fontId="1" fillId="2" borderId="1" xfId="0" applyFont="1" applyFill="1" applyBorder="1" applyAlignment="1">
      <alignment horizontal="center" vertical="center" wrapText="1"/>
    </xf>
    <xf numFmtId="0" fontId="0" fillId="5" borderId="7" xfId="0" applyFill="1" applyBorder="1" applyAlignment="1">
      <alignment wrapText="1"/>
    </xf>
    <xf numFmtId="0" fontId="0" fillId="0" borderId="0" xfId="0" applyAlignment="1">
      <alignment wrapText="1"/>
    </xf>
    <xf numFmtId="0" fontId="0" fillId="0" borderId="58" xfId="0" applyBorder="1"/>
    <xf numFmtId="0" fontId="0" fillId="0" borderId="60" xfId="0" applyBorder="1"/>
    <xf numFmtId="0" fontId="0" fillId="0" borderId="62" xfId="0" applyBorder="1"/>
    <xf numFmtId="0" fontId="0" fillId="0" borderId="63" xfId="0" applyBorder="1"/>
    <xf numFmtId="16" fontId="0" fillId="0" borderId="0" xfId="0" applyNumberFormat="1"/>
    <xf numFmtId="0" fontId="0" fillId="0" borderId="2" xfId="0" applyBorder="1" applyAlignment="1">
      <alignment wrapText="1"/>
    </xf>
    <xf numFmtId="0" fontId="0" fillId="3" borderId="5" xfId="0" applyFill="1" applyBorder="1" applyAlignment="1">
      <alignment horizontal="center"/>
    </xf>
    <xf numFmtId="0" fontId="0" fillId="0" borderId="7" xfId="0" applyBorder="1" applyAlignment="1">
      <alignment wrapText="1"/>
    </xf>
    <xf numFmtId="0" fontId="8" fillId="0" borderId="0" xfId="0" applyFont="1"/>
    <xf numFmtId="0" fontId="0" fillId="0" borderId="64" xfId="0" applyBorder="1" applyAlignment="1">
      <alignment horizontal="left" vertical="top" wrapText="1"/>
    </xf>
    <xf numFmtId="0" fontId="0" fillId="0" borderId="65" xfId="0" applyBorder="1" applyAlignment="1">
      <alignment horizontal="left" vertical="top" wrapText="1"/>
    </xf>
    <xf numFmtId="0" fontId="0" fillId="0" borderId="10" xfId="0" applyBorder="1" applyAlignment="1">
      <alignment horizontal="left" vertical="top" wrapText="1"/>
    </xf>
    <xf numFmtId="0" fontId="0" fillId="0" borderId="56" xfId="0" applyBorder="1" applyAlignment="1">
      <alignment horizontal="left" vertical="top" wrapText="1"/>
    </xf>
    <xf numFmtId="0" fontId="0" fillId="0" borderId="14" xfId="0" applyBorder="1" applyAlignment="1">
      <alignment horizontal="left" vertical="top" wrapText="1"/>
    </xf>
    <xf numFmtId="0" fontId="0" fillId="0" borderId="66" xfId="0" applyBorder="1" applyAlignment="1">
      <alignment horizontal="left" vertical="top" wrapText="1"/>
    </xf>
    <xf numFmtId="0" fontId="0" fillId="0" borderId="67" xfId="0" applyBorder="1" applyAlignment="1">
      <alignment horizontal="left" vertical="top" wrapText="1"/>
    </xf>
    <xf numFmtId="0" fontId="0" fillId="0" borderId="62" xfId="0" applyBorder="1" applyAlignment="1">
      <alignment horizontal="left" vertical="top" wrapText="1"/>
    </xf>
    <xf numFmtId="0" fontId="0" fillId="0" borderId="52" xfId="0" applyBorder="1" applyAlignment="1">
      <alignment horizontal="left" vertical="top" wrapText="1"/>
    </xf>
    <xf numFmtId="0" fontId="0" fillId="0" borderId="8" xfId="0" applyBorder="1" applyAlignment="1">
      <alignment horizontal="left" vertical="top" wrapText="1"/>
    </xf>
    <xf numFmtId="0" fontId="0" fillId="0" borderId="68" xfId="0" applyBorder="1" applyAlignment="1">
      <alignment horizontal="left" vertical="top" wrapText="1"/>
    </xf>
    <xf numFmtId="0" fontId="0" fillId="0" borderId="1" xfId="0" applyBorder="1" applyAlignment="1">
      <alignment horizontal="left" vertical="center"/>
    </xf>
    <xf numFmtId="16" fontId="0" fillId="0" borderId="69" xfId="0" applyNumberFormat="1" applyBorder="1"/>
    <xf numFmtId="0" fontId="0" fillId="0" borderId="70" xfId="0" applyBorder="1"/>
    <xf numFmtId="0" fontId="0" fillId="0" borderId="38" xfId="0" applyBorder="1" applyAlignment="1">
      <alignment horizontal="left" vertical="top" wrapText="1"/>
    </xf>
    <xf numFmtId="16" fontId="0" fillId="3" borderId="5" xfId="0" applyNumberFormat="1" applyFill="1" applyBorder="1"/>
    <xf numFmtId="0" fontId="0" fillId="3" borderId="7" xfId="0" applyFill="1" applyBorder="1"/>
    <xf numFmtId="0" fontId="0" fillId="3" borderId="7" xfId="0" applyFill="1" applyBorder="1" applyAlignment="1">
      <alignment wrapText="1"/>
    </xf>
    <xf numFmtId="20" fontId="0" fillId="3" borderId="7" xfId="0" applyNumberFormat="1" applyFill="1" applyBorder="1" applyAlignment="1">
      <alignment horizontal="center"/>
    </xf>
    <xf numFmtId="14" fontId="0" fillId="0" borderId="7" xfId="0" applyNumberFormat="1" applyBorder="1"/>
    <xf numFmtId="20" fontId="0" fillId="0" borderId="7" xfId="0" applyNumberFormat="1" applyBorder="1"/>
    <xf numFmtId="0" fontId="0" fillId="0" borderId="73" xfId="0" applyBorder="1" applyAlignment="1">
      <alignment horizontal="left" vertical="top" wrapText="1"/>
    </xf>
    <xf numFmtId="0" fontId="0" fillId="0" borderId="58" xfId="0" applyBorder="1" applyAlignment="1">
      <alignment horizontal="left" vertical="top" wrapText="1"/>
    </xf>
    <xf numFmtId="0" fontId="0" fillId="0" borderId="74" xfId="0" applyBorder="1" applyAlignment="1">
      <alignment horizontal="left" vertical="top" wrapText="1"/>
    </xf>
    <xf numFmtId="0" fontId="0" fillId="0" borderId="75" xfId="0" applyBorder="1" applyAlignment="1">
      <alignment horizontal="left" vertical="top" wrapText="1"/>
    </xf>
    <xf numFmtId="0" fontId="0" fillId="0" borderId="60" xfId="0" applyBorder="1" applyAlignment="1">
      <alignment horizontal="left" vertical="top" wrapText="1"/>
    </xf>
    <xf numFmtId="0" fontId="0" fillId="0" borderId="63" xfId="0" applyBorder="1" applyAlignment="1">
      <alignment horizontal="left" vertical="top" wrapText="1"/>
    </xf>
    <xf numFmtId="0" fontId="0" fillId="0" borderId="76" xfId="0" applyBorder="1" applyAlignment="1">
      <alignment horizontal="left" vertical="top" wrapText="1"/>
    </xf>
    <xf numFmtId="0" fontId="0" fillId="0" borderId="51" xfId="0" applyBorder="1" applyAlignment="1">
      <alignment horizontal="left" vertical="top" wrapText="1"/>
    </xf>
    <xf numFmtId="0" fontId="0" fillId="0" borderId="78" xfId="0" applyBorder="1" applyAlignment="1">
      <alignment horizontal="left" vertical="top" wrapText="1"/>
    </xf>
    <xf numFmtId="0" fontId="0" fillId="0" borderId="79" xfId="0" applyBorder="1" applyAlignment="1">
      <alignment horizontal="left" vertical="top" wrapText="1"/>
    </xf>
    <xf numFmtId="0" fontId="0" fillId="0" borderId="80" xfId="0" applyBorder="1" applyAlignment="1">
      <alignment horizontal="left" vertical="top" wrapText="1"/>
    </xf>
    <xf numFmtId="0" fontId="0" fillId="0" borderId="81" xfId="0" applyBorder="1" applyAlignment="1">
      <alignment horizontal="left" vertical="top" wrapText="1"/>
    </xf>
    <xf numFmtId="0" fontId="0" fillId="0" borderId="82" xfId="0" applyBorder="1" applyAlignment="1">
      <alignment horizontal="left" vertical="top" wrapText="1"/>
    </xf>
    <xf numFmtId="0" fontId="0" fillId="0" borderId="83" xfId="0" applyBorder="1" applyAlignment="1">
      <alignment horizontal="left" vertical="top" wrapText="1"/>
    </xf>
    <xf numFmtId="0" fontId="0" fillId="0" borderId="85" xfId="0" applyBorder="1" applyAlignment="1">
      <alignment horizontal="left" vertical="top" wrapText="1"/>
    </xf>
    <xf numFmtId="0" fontId="0" fillId="0" borderId="86" xfId="0" applyBorder="1" applyAlignment="1">
      <alignment horizontal="left" vertical="top" wrapText="1"/>
    </xf>
    <xf numFmtId="0" fontId="0" fillId="0" borderId="87" xfId="0" applyBorder="1" applyAlignment="1">
      <alignment horizontal="left" vertical="top" wrapText="1"/>
    </xf>
    <xf numFmtId="0" fontId="8" fillId="0" borderId="7" xfId="0" applyFont="1" applyBorder="1"/>
    <xf numFmtId="0" fontId="0" fillId="5" borderId="5" xfId="0" applyFill="1" applyBorder="1" applyAlignment="1">
      <alignment horizontal="left" vertical="center"/>
    </xf>
    <xf numFmtId="0" fontId="0" fillId="5" borderId="7" xfId="0" applyFill="1" applyBorder="1" applyAlignment="1">
      <alignment horizontal="left" vertical="center" wrapText="1"/>
    </xf>
    <xf numFmtId="0" fontId="0" fillId="0" borderId="7" xfId="0" applyBorder="1" applyAlignment="1">
      <alignment horizontal="center" vertical="top"/>
    </xf>
    <xf numFmtId="0" fontId="0" fillId="0" borderId="27" xfId="0" applyBorder="1" applyAlignment="1">
      <alignment horizontal="left" vertical="top" wrapText="1"/>
    </xf>
    <xf numFmtId="0" fontId="0" fillId="3" borderId="7" xfId="0" applyFill="1" applyBorder="1" applyAlignment="1">
      <alignment horizontal="center" wrapText="1"/>
    </xf>
    <xf numFmtId="0" fontId="9" fillId="0" borderId="75" xfId="0" applyFont="1" applyBorder="1" applyAlignment="1">
      <alignment horizontal="left" vertical="top"/>
    </xf>
    <xf numFmtId="0" fontId="9" fillId="0" borderId="67" xfId="0" applyFont="1" applyBorder="1" applyAlignment="1">
      <alignment horizontal="left" vertical="top"/>
    </xf>
    <xf numFmtId="16" fontId="0" fillId="0" borderId="7" xfId="0" applyNumberFormat="1" applyBorder="1" applyAlignment="1">
      <alignment horizontal="center" vertical="center"/>
    </xf>
    <xf numFmtId="16" fontId="0" fillId="0" borderId="9" xfId="0" applyNumberFormat="1" applyBorder="1"/>
    <xf numFmtId="0" fontId="0" fillId="5" borderId="1" xfId="0" applyFill="1" applyBorder="1"/>
    <xf numFmtId="0" fontId="0" fillId="3" borderId="8" xfId="0" applyFill="1" applyBorder="1" applyAlignment="1">
      <alignment horizontal="center"/>
    </xf>
    <xf numFmtId="0" fontId="0" fillId="0" borderId="65" xfId="0" applyBorder="1"/>
    <xf numFmtId="0" fontId="0" fillId="0" borderId="65" xfId="0" applyBorder="1" applyAlignment="1">
      <alignment wrapText="1"/>
    </xf>
    <xf numFmtId="0" fontId="0" fillId="3" borderId="7" xfId="0" applyFill="1" applyBorder="1" applyAlignment="1">
      <alignment horizontal="center" vertical="center"/>
    </xf>
    <xf numFmtId="20" fontId="0" fillId="3" borderId="8" xfId="0" applyNumberFormat="1" applyFill="1" applyBorder="1" applyAlignment="1">
      <alignment horizontal="center"/>
    </xf>
    <xf numFmtId="164" fontId="0" fillId="0" borderId="0" xfId="0" applyNumberFormat="1" applyAlignment="1">
      <alignment horizontal="center" vertical="center"/>
    </xf>
    <xf numFmtId="0" fontId="0" fillId="0" borderId="9" xfId="0" applyBorder="1" applyAlignment="1">
      <alignment wrapText="1"/>
    </xf>
    <xf numFmtId="0" fontId="0" fillId="0" borderId="9" xfId="0" applyBorder="1"/>
    <xf numFmtId="0" fontId="0" fillId="0" borderId="7" xfId="0" applyBorder="1" applyAlignment="1">
      <alignment horizontal="right"/>
    </xf>
    <xf numFmtId="165" fontId="1" fillId="4" borderId="1" xfId="0" applyNumberFormat="1" applyFont="1" applyFill="1" applyBorder="1" applyAlignment="1">
      <alignment horizontal="center" vertical="center"/>
    </xf>
    <xf numFmtId="165" fontId="0" fillId="4" borderId="1" xfId="0" applyNumberFormat="1" applyFill="1" applyBorder="1" applyAlignment="1">
      <alignment horizontal="center" vertical="center"/>
    </xf>
    <xf numFmtId="165" fontId="0" fillId="0" borderId="1" xfId="0" applyNumberFormat="1" applyBorder="1" applyAlignment="1">
      <alignment horizontal="center" vertical="center"/>
    </xf>
    <xf numFmtId="0" fontId="0" fillId="0" borderId="74" xfId="0" applyBorder="1"/>
    <xf numFmtId="0" fontId="0" fillId="3" borderId="8" xfId="0" applyFill="1" applyBorder="1" applyAlignment="1">
      <alignment horizontal="center" vertical="center"/>
    </xf>
    <xf numFmtId="0" fontId="0" fillId="0" borderId="94" xfId="0" applyBorder="1"/>
    <xf numFmtId="0" fontId="0" fillId="0" borderId="95" xfId="0" applyBorder="1"/>
    <xf numFmtId="0" fontId="0" fillId="8" borderId="0" xfId="0" applyFill="1"/>
    <xf numFmtId="0" fontId="0" fillId="8" borderId="10" xfId="0" applyFill="1" applyBorder="1"/>
    <xf numFmtId="0" fontId="0" fillId="8" borderId="11" xfId="0" applyFill="1" applyBorder="1"/>
    <xf numFmtId="16" fontId="0" fillId="8" borderId="0" xfId="0" applyNumberFormat="1" applyFill="1"/>
    <xf numFmtId="0" fontId="0" fillId="8" borderId="0" xfId="0" applyFill="1" applyAlignment="1">
      <alignment horizontal="center" vertical="center"/>
    </xf>
    <xf numFmtId="0" fontId="0" fillId="8" borderId="2" xfId="0" applyFill="1" applyBorder="1"/>
    <xf numFmtId="0" fontId="0" fillId="8" borderId="2" xfId="0" applyFill="1" applyBorder="1" applyAlignment="1">
      <alignment horizontal="center" vertical="center"/>
    </xf>
    <xf numFmtId="0" fontId="1" fillId="2" borderId="7" xfId="0" applyFont="1" applyFill="1" applyBorder="1"/>
    <xf numFmtId="0" fontId="1" fillId="2" borderId="7" xfId="0" applyFont="1" applyFill="1" applyBorder="1" applyAlignment="1">
      <alignment horizontal="center" wrapText="1"/>
    </xf>
    <xf numFmtId="0" fontId="1" fillId="2" borderId="7" xfId="0" applyFont="1" applyFill="1" applyBorder="1" applyAlignment="1">
      <alignment wrapText="1"/>
    </xf>
    <xf numFmtId="0" fontId="1" fillId="4" borderId="7" xfId="0" applyFont="1" applyFill="1" applyBorder="1"/>
    <xf numFmtId="0" fontId="1" fillId="4" borderId="7" xfId="0" applyFont="1" applyFill="1" applyBorder="1" applyAlignment="1">
      <alignment horizontal="center" vertical="center"/>
    </xf>
    <xf numFmtId="16" fontId="0" fillId="3" borderId="7" xfId="0" applyNumberFormat="1" applyFill="1" applyBorder="1"/>
    <xf numFmtId="0" fontId="0" fillId="4" borderId="7" xfId="0" applyFill="1" applyBorder="1"/>
    <xf numFmtId="0" fontId="0" fillId="4" borderId="7" xfId="0" applyFill="1" applyBorder="1" applyAlignment="1">
      <alignment horizontal="center" vertical="center"/>
    </xf>
    <xf numFmtId="0" fontId="1" fillId="0" borderId="7" xfId="0" applyFont="1" applyBorder="1"/>
    <xf numFmtId="0" fontId="1" fillId="6" borderId="7" xfId="0" applyFont="1" applyFill="1" applyBorder="1"/>
    <xf numFmtId="0" fontId="0" fillId="6" borderId="7" xfId="0" applyFill="1" applyBorder="1"/>
    <xf numFmtId="0" fontId="0" fillId="6" borderId="7" xfId="0" applyFill="1" applyBorder="1" applyAlignment="1">
      <alignment horizontal="center" vertical="center"/>
    </xf>
    <xf numFmtId="0" fontId="0" fillId="6" borderId="7" xfId="0" applyFill="1" applyBorder="1" applyAlignment="1">
      <alignment horizontal="center"/>
    </xf>
    <xf numFmtId="0" fontId="3" fillId="0" borderId="7" xfId="0" applyFont="1" applyBorder="1"/>
    <xf numFmtId="0" fontId="6" fillId="0" borderId="1" xfId="1" applyBorder="1" applyAlignment="1">
      <alignment horizontal="left" vertical="center"/>
    </xf>
    <xf numFmtId="16" fontId="0" fillId="3" borderId="1" xfId="0" applyNumberFormat="1" applyFill="1" applyBorder="1" applyAlignment="1">
      <alignment wrapText="1"/>
    </xf>
    <xf numFmtId="20" fontId="0" fillId="3" borderId="5" xfId="0" applyNumberFormat="1" applyFill="1" applyBorder="1" applyAlignment="1">
      <alignment horizontal="center"/>
    </xf>
    <xf numFmtId="0" fontId="0" fillId="0" borderId="5" xfId="0" applyBorder="1" applyAlignment="1">
      <alignment horizontal="center" vertical="center" wrapText="1"/>
    </xf>
    <xf numFmtId="0" fontId="0" fillId="0" borderId="7" xfId="0" applyBorder="1" applyAlignment="1">
      <alignment horizontal="left"/>
    </xf>
    <xf numFmtId="0" fontId="1" fillId="4" borderId="1" xfId="0" applyFont="1" applyFill="1" applyBorder="1" applyAlignment="1">
      <alignment wrapText="1"/>
    </xf>
    <xf numFmtId="0" fontId="0" fillId="3" borderId="5" xfId="0" applyFill="1" applyBorder="1" applyAlignment="1">
      <alignment wrapText="1"/>
    </xf>
    <xf numFmtId="0" fontId="0" fillId="4" borderId="1" xfId="0" applyFill="1" applyBorder="1" applyAlignment="1">
      <alignment wrapText="1"/>
    </xf>
    <xf numFmtId="0" fontId="0" fillId="0" borderId="7" xfId="0" applyBorder="1" applyAlignment="1">
      <alignment horizontal="right" wrapText="1"/>
    </xf>
    <xf numFmtId="0" fontId="0" fillId="7" borderId="7" xfId="0" applyFill="1" applyBorder="1" applyAlignment="1">
      <alignment horizontal="center"/>
    </xf>
    <xf numFmtId="20" fontId="0" fillId="7" borderId="7" xfId="0" applyNumberFormat="1" applyFill="1" applyBorder="1" applyAlignment="1">
      <alignment horizontal="center"/>
    </xf>
    <xf numFmtId="0" fontId="0" fillId="0" borderId="90" xfId="0" applyBorder="1" applyAlignment="1">
      <alignment horizontal="left" vertical="top" wrapText="1"/>
    </xf>
    <xf numFmtId="0" fontId="0" fillId="0" borderId="91" xfId="0" applyBorder="1" applyAlignment="1">
      <alignment horizontal="left" vertical="top" wrapText="1"/>
    </xf>
    <xf numFmtId="0" fontId="1" fillId="2" borderId="1" xfId="0" applyFont="1" applyFill="1" applyBorder="1" applyAlignment="1">
      <alignment horizontal="center" wrapText="1"/>
    </xf>
    <xf numFmtId="0" fontId="9" fillId="0" borderId="7" xfId="0" applyFont="1" applyBorder="1"/>
    <xf numFmtId="0" fontId="0" fillId="5" borderId="1" xfId="0" applyFill="1" applyBorder="1" applyAlignment="1">
      <alignment wrapText="1"/>
    </xf>
    <xf numFmtId="0" fontId="0" fillId="0" borderId="71" xfId="0" applyBorder="1" applyAlignment="1">
      <alignment horizontal="left" vertical="top" wrapText="1"/>
    </xf>
    <xf numFmtId="0" fontId="0" fillId="0" borderId="89" xfId="0" applyBorder="1" applyAlignment="1">
      <alignment horizontal="left" vertical="top" wrapText="1"/>
    </xf>
    <xf numFmtId="0" fontId="0" fillId="0" borderId="100" xfId="0" applyBorder="1" applyAlignment="1">
      <alignment horizontal="left" vertical="top" wrapText="1"/>
    </xf>
    <xf numFmtId="0" fontId="0" fillId="0" borderId="101" xfId="0" applyBorder="1" applyAlignment="1">
      <alignment horizontal="left" vertical="top" wrapText="1"/>
    </xf>
    <xf numFmtId="0" fontId="0" fillId="3" borderId="8" xfId="0" applyFill="1" applyBorder="1"/>
    <xf numFmtId="0" fontId="0" fillId="3" borderId="8" xfId="0" applyFill="1" applyBorder="1" applyAlignment="1">
      <alignment wrapText="1"/>
    </xf>
    <xf numFmtId="16" fontId="11" fillId="9" borderId="1" xfId="0" applyNumberFormat="1" applyFont="1" applyFill="1" applyBorder="1" applyAlignment="1">
      <alignment horizontal="center" vertical="center"/>
    </xf>
    <xf numFmtId="0" fontId="0" fillId="0" borderId="3" xfId="0" applyBorder="1" applyAlignment="1">
      <alignment horizontal="center" vertical="center"/>
    </xf>
    <xf numFmtId="0" fontId="0" fillId="0" borderId="52" xfId="0" applyBorder="1" applyAlignment="1">
      <alignment horizontal="center" vertical="center" wrapText="1"/>
    </xf>
    <xf numFmtId="0" fontId="0" fillId="0" borderId="53" xfId="0" applyBorder="1" applyAlignment="1">
      <alignment horizontal="center" vertical="center" wrapText="1"/>
    </xf>
    <xf numFmtId="0" fontId="0" fillId="0" borderId="0" xfId="0" applyAlignment="1">
      <alignment horizontal="center" vertical="top" wrapText="1"/>
    </xf>
    <xf numFmtId="14" fontId="0" fillId="0" borderId="0" xfId="0" applyNumberFormat="1"/>
    <xf numFmtId="16" fontId="0" fillId="7" borderId="0" xfId="0" applyNumberFormat="1" applyFill="1" applyAlignment="1">
      <alignment horizontal="center" vertical="center"/>
    </xf>
    <xf numFmtId="0" fontId="0" fillId="0" borderId="8" xfId="0" applyBorder="1"/>
    <xf numFmtId="0" fontId="0" fillId="3" borderId="8" xfId="0" applyFill="1" applyBorder="1" applyAlignment="1">
      <alignment horizontal="center" wrapText="1"/>
    </xf>
    <xf numFmtId="0" fontId="0" fillId="3" borderId="8" xfId="0" applyFill="1" applyBorder="1" applyAlignment="1">
      <alignment horizontal="center" vertical="center" wrapText="1"/>
    </xf>
    <xf numFmtId="0" fontId="0" fillId="0" borderId="95" xfId="0" applyBorder="1" applyAlignment="1">
      <alignment horizontal="left" vertical="top" wrapText="1"/>
    </xf>
    <xf numFmtId="0" fontId="0" fillId="0" borderId="104" xfId="0" applyBorder="1" applyAlignment="1">
      <alignment horizontal="left" vertical="top" wrapText="1"/>
    </xf>
    <xf numFmtId="0" fontId="0" fillId="0" borderId="105" xfId="0" applyBorder="1" applyAlignment="1">
      <alignment horizontal="left" vertical="top" wrapText="1"/>
    </xf>
    <xf numFmtId="0" fontId="0" fillId="0" borderId="106" xfId="0" applyBorder="1" applyAlignment="1">
      <alignment horizontal="left" vertical="top" wrapText="1"/>
    </xf>
    <xf numFmtId="0" fontId="0" fillId="3" borderId="9" xfId="0" applyFill="1" applyBorder="1" applyAlignment="1">
      <alignment wrapText="1"/>
    </xf>
    <xf numFmtId="0" fontId="0" fillId="3" borderId="55" xfId="0" applyFill="1" applyBorder="1" applyAlignment="1">
      <alignment horizontal="center" vertical="center" wrapText="1"/>
    </xf>
    <xf numFmtId="0" fontId="0" fillId="0" borderId="95" xfId="0" applyBorder="1" applyAlignment="1">
      <alignment wrapText="1"/>
    </xf>
    <xf numFmtId="0" fontId="0" fillId="0" borderId="11" xfId="0" applyBorder="1"/>
    <xf numFmtId="0" fontId="0" fillId="3" borderId="7" xfId="0" applyFill="1" applyBorder="1" applyAlignment="1">
      <alignment horizontal="center" vertical="center" wrapText="1"/>
    </xf>
    <xf numFmtId="0" fontId="0" fillId="3" borderId="55" xfId="0" applyFill="1" applyBorder="1" applyAlignment="1">
      <alignment horizontal="center" wrapText="1"/>
    </xf>
    <xf numFmtId="0" fontId="0" fillId="5" borderId="58" xfId="0" applyFill="1" applyBorder="1"/>
    <xf numFmtId="0" fontId="0" fillId="0" borderId="7" xfId="0" applyBorder="1" applyAlignment="1">
      <alignment horizontal="left" wrapText="1"/>
    </xf>
    <xf numFmtId="0" fontId="6" fillId="0" borderId="0" xfId="1"/>
    <xf numFmtId="0" fontId="0" fillId="0" borderId="107" xfId="0" applyBorder="1" applyAlignment="1">
      <alignment horizontal="left" vertical="top" wrapText="1"/>
    </xf>
    <xf numFmtId="0" fontId="0" fillId="5" borderId="0" xfId="0" applyFill="1"/>
    <xf numFmtId="0" fontId="0" fillId="5" borderId="1" xfId="0" applyFill="1" applyBorder="1" applyAlignment="1">
      <alignment horizontal="center" vertical="center"/>
    </xf>
    <xf numFmtId="0" fontId="0" fillId="5" borderId="53" xfId="0" applyFill="1" applyBorder="1" applyAlignment="1">
      <alignment horizontal="center" vertical="center"/>
    </xf>
    <xf numFmtId="0" fontId="0" fillId="5" borderId="5" xfId="0" applyFill="1" applyBorder="1" applyAlignment="1">
      <alignment horizontal="center" vertical="center"/>
    </xf>
    <xf numFmtId="0" fontId="0" fillId="4" borderId="5" xfId="0" applyFill="1" applyBorder="1" applyAlignment="1">
      <alignment horizontal="center" vertical="center"/>
    </xf>
    <xf numFmtId="0" fontId="0" fillId="4" borderId="64" xfId="0" applyFill="1" applyBorder="1"/>
    <xf numFmtId="0" fontId="14" fillId="0" borderId="0" xfId="0" applyFont="1" applyAlignment="1">
      <alignment horizontal="left" vertical="center"/>
    </xf>
    <xf numFmtId="0" fontId="0" fillId="4" borderId="9" xfId="0" applyFill="1" applyBorder="1" applyAlignment="1">
      <alignment horizontal="center" vertical="center"/>
    </xf>
    <xf numFmtId="0" fontId="0" fillId="3" borderId="55" xfId="0" applyFill="1" applyBorder="1" applyAlignment="1">
      <alignment wrapText="1"/>
    </xf>
    <xf numFmtId="0" fontId="0" fillId="4" borderId="52" xfId="0" applyFill="1" applyBorder="1" applyAlignment="1">
      <alignment horizontal="center" vertical="center"/>
    </xf>
    <xf numFmtId="0" fontId="0" fillId="5" borderId="7" xfId="0" applyFill="1" applyBorder="1" applyAlignment="1">
      <alignment horizontal="left" vertical="top"/>
    </xf>
    <xf numFmtId="0" fontId="0" fillId="0" borderId="60" xfId="0" applyBorder="1" applyAlignment="1">
      <alignment wrapText="1"/>
    </xf>
    <xf numFmtId="0" fontId="0" fillId="5" borderId="55" xfId="0" applyFill="1" applyBorder="1" applyAlignment="1">
      <alignment wrapText="1"/>
    </xf>
    <xf numFmtId="0" fontId="1" fillId="0" borderId="1" xfId="0" applyFont="1" applyBorder="1" applyAlignment="1">
      <alignment horizontal="center" vertical="center"/>
    </xf>
    <xf numFmtId="0" fontId="0" fillId="0" borderId="0" xfId="0" applyAlignment="1">
      <alignment horizontal="left" indent="1"/>
    </xf>
    <xf numFmtId="0" fontId="1" fillId="4" borderId="1" xfId="0" applyFont="1" applyFill="1" applyBorder="1" applyAlignment="1">
      <alignment horizontal="left" indent="1"/>
    </xf>
    <xf numFmtId="16" fontId="0" fillId="0" borderId="1" xfId="0" applyNumberFormat="1" applyBorder="1" applyAlignment="1">
      <alignment horizontal="left" indent="1"/>
    </xf>
    <xf numFmtId="0" fontId="0" fillId="0" borderId="1" xfId="0" applyBorder="1" applyAlignment="1">
      <alignment horizontal="left" indent="1"/>
    </xf>
    <xf numFmtId="0" fontId="3" fillId="0" borderId="0" xfId="0" applyFont="1" applyAlignment="1">
      <alignment horizontal="left" indent="1"/>
    </xf>
    <xf numFmtId="0" fontId="7" fillId="0" borderId="0" xfId="0" applyFont="1" applyAlignment="1">
      <alignment horizontal="left" indent="1"/>
    </xf>
    <xf numFmtId="0" fontId="1" fillId="0" borderId="1" xfId="0" applyFont="1" applyBorder="1" applyAlignment="1">
      <alignment horizontal="left" indent="1"/>
    </xf>
    <xf numFmtId="0" fontId="5" fillId="0" borderId="0" xfId="0" applyFont="1" applyAlignment="1">
      <alignment horizontal="left" indent="1"/>
    </xf>
    <xf numFmtId="16" fontId="0" fillId="0" borderId="0" xfId="0" applyNumberFormat="1" applyAlignment="1">
      <alignment horizontal="left" indent="1"/>
    </xf>
    <xf numFmtId="16" fontId="0" fillId="10" borderId="1" xfId="0" applyNumberFormat="1" applyFill="1" applyBorder="1" applyAlignment="1">
      <alignment horizontal="left" indent="1"/>
    </xf>
    <xf numFmtId="0" fontId="0" fillId="10" borderId="1" xfId="0" applyFill="1" applyBorder="1" applyAlignment="1">
      <alignment horizontal="left" indent="1"/>
    </xf>
    <xf numFmtId="0" fontId="0" fillId="10" borderId="0" xfId="0" applyFill="1" applyAlignment="1">
      <alignment horizontal="left" indent="1"/>
    </xf>
    <xf numFmtId="0" fontId="8" fillId="0" borderId="0" xfId="0" applyFont="1" applyAlignment="1">
      <alignment horizontal="left"/>
    </xf>
    <xf numFmtId="0" fontId="1" fillId="4" borderId="6" xfId="0" applyFont="1" applyFill="1" applyBorder="1" applyAlignment="1">
      <alignment horizontal="left" indent="1"/>
    </xf>
    <xf numFmtId="16" fontId="0" fillId="0" borderId="6" xfId="0" applyNumberFormat="1" applyBorder="1" applyAlignment="1">
      <alignment horizontal="left" indent="1"/>
    </xf>
    <xf numFmtId="0" fontId="1" fillId="2" borderId="15" xfId="0" applyFont="1" applyFill="1" applyBorder="1" applyAlignment="1">
      <alignment horizontal="left" indent="1"/>
    </xf>
    <xf numFmtId="0" fontId="1" fillId="2" borderId="4" xfId="0" applyFont="1" applyFill="1" applyBorder="1" applyAlignment="1">
      <alignment horizontal="left" indent="1"/>
    </xf>
    <xf numFmtId="0" fontId="1" fillId="2" borderId="4" xfId="0" applyFont="1" applyFill="1" applyBorder="1" applyAlignment="1">
      <alignment horizontal="left" wrapText="1" indent="1"/>
    </xf>
    <xf numFmtId="16" fontId="0" fillId="0" borderId="64" xfId="0" applyNumberFormat="1" applyBorder="1" applyAlignment="1">
      <alignment horizontal="left" indent="1"/>
    </xf>
    <xf numFmtId="0" fontId="0" fillId="0" borderId="2" xfId="0" applyBorder="1" applyAlignment="1">
      <alignment horizontal="left" indent="1"/>
    </xf>
    <xf numFmtId="16" fontId="0" fillId="3" borderId="1" xfId="0" applyNumberFormat="1" applyFill="1" applyBorder="1" applyAlignment="1">
      <alignment vertical="top"/>
    </xf>
    <xf numFmtId="0" fontId="0" fillId="4" borderId="5" xfId="0" applyFill="1" applyBorder="1"/>
    <xf numFmtId="16" fontId="0" fillId="0" borderId="2" xfId="0" applyNumberFormat="1" applyBorder="1" applyAlignment="1">
      <alignment horizontal="center" vertical="center"/>
    </xf>
    <xf numFmtId="16" fontId="0" fillId="0" borderId="97" xfId="0" applyNumberFormat="1" applyBorder="1" applyAlignment="1">
      <alignment horizontal="center" vertical="center"/>
    </xf>
    <xf numFmtId="16" fontId="0" fillId="0" borderId="96" xfId="0" applyNumberFormat="1" applyBorder="1" applyAlignment="1">
      <alignment horizontal="center" vertical="center"/>
    </xf>
    <xf numFmtId="16" fontId="0" fillId="0" borderId="1" xfId="0" applyNumberFormat="1" applyBorder="1" applyAlignment="1">
      <alignment horizontal="center" vertical="center"/>
    </xf>
    <xf numFmtId="16" fontId="0" fillId="0" borderId="84" xfId="0" applyNumberFormat="1" applyBorder="1" applyAlignment="1">
      <alignment horizontal="center" vertical="center"/>
    </xf>
    <xf numFmtId="16" fontId="0" fillId="0" borderId="64" xfId="0" applyNumberFormat="1" applyBorder="1" applyAlignment="1">
      <alignment horizontal="center" vertical="center"/>
    </xf>
    <xf numFmtId="16" fontId="0" fillId="5" borderId="64" xfId="0" applyNumberFormat="1" applyFill="1" applyBorder="1" applyAlignment="1">
      <alignment horizontal="center" vertical="center"/>
    </xf>
    <xf numFmtId="16" fontId="0" fillId="0" borderId="9" xfId="0" applyNumberFormat="1" applyBorder="1" applyAlignment="1">
      <alignment horizontal="center" vertical="center"/>
    </xf>
    <xf numFmtId="16" fontId="0" fillId="0" borderId="11" xfId="0" applyNumberFormat="1" applyBorder="1" applyAlignment="1">
      <alignment horizontal="center" vertical="center"/>
    </xf>
    <xf numFmtId="0" fontId="0" fillId="0" borderId="7" xfId="0" applyBorder="1" applyAlignment="1">
      <alignment horizontal="center" wrapText="1"/>
    </xf>
    <xf numFmtId="165" fontId="0" fillId="0" borderId="2" xfId="0" applyNumberFormat="1" applyBorder="1" applyAlignment="1">
      <alignment horizontal="center" vertical="center"/>
    </xf>
    <xf numFmtId="165" fontId="0" fillId="0" borderId="3" xfId="0" applyNumberFormat="1" applyBorder="1" applyAlignment="1">
      <alignment horizontal="center" vertical="center"/>
    </xf>
    <xf numFmtId="165" fontId="0" fillId="0" borderId="4" xfId="0" applyNumberFormat="1" applyBorder="1" applyAlignment="1">
      <alignment horizontal="center" vertical="center"/>
    </xf>
    <xf numFmtId="16" fontId="0" fillId="0" borderId="2" xfId="0" applyNumberFormat="1" applyBorder="1" applyAlignment="1">
      <alignment horizontal="center" vertical="center"/>
    </xf>
    <xf numFmtId="16" fontId="0" fillId="0" borderId="3" xfId="0" applyNumberFormat="1" applyBorder="1" applyAlignment="1">
      <alignment horizontal="center" vertical="center"/>
    </xf>
    <xf numFmtId="16" fontId="0" fillId="0" borderId="4" xfId="0" applyNumberFormat="1" applyBorder="1" applyAlignment="1">
      <alignment horizontal="center" vertical="center"/>
    </xf>
    <xf numFmtId="166" fontId="0" fillId="0" borderId="2" xfId="0" applyNumberFormat="1" applyBorder="1" applyAlignment="1">
      <alignment horizontal="center" vertical="center"/>
    </xf>
    <xf numFmtId="166" fontId="0" fillId="0" borderId="3" xfId="0" applyNumberFormat="1" applyBorder="1" applyAlignment="1">
      <alignment horizontal="center" vertical="center"/>
    </xf>
    <xf numFmtId="166" fontId="0" fillId="0" borderId="4" xfId="0" applyNumberFormat="1" applyBorder="1" applyAlignment="1">
      <alignment horizontal="center" vertical="center"/>
    </xf>
    <xf numFmtId="16" fontId="0" fillId="0" borderId="7" xfId="0" applyNumberFormat="1" applyBorder="1" applyAlignment="1">
      <alignment horizontal="center" vertical="center"/>
    </xf>
    <xf numFmtId="0" fontId="0" fillId="3" borderId="2"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3" borderId="2" xfId="0" applyFill="1" applyBorder="1" applyAlignment="1">
      <alignment horizontal="center" vertical="center" wrapText="1"/>
    </xf>
    <xf numFmtId="0" fontId="0" fillId="3" borderId="3" xfId="0" applyFill="1" applyBorder="1" applyAlignment="1">
      <alignment horizontal="center" vertical="center" wrapText="1"/>
    </xf>
    <xf numFmtId="0" fontId="0" fillId="3" borderId="4" xfId="0" applyFill="1" applyBorder="1" applyAlignment="1">
      <alignment horizontal="center" vertical="center" wrapText="1"/>
    </xf>
    <xf numFmtId="0" fontId="0" fillId="0" borderId="17" xfId="0" applyBorder="1" applyAlignment="1">
      <alignment horizontal="center" vertical="center"/>
    </xf>
    <xf numFmtId="0" fontId="0" fillId="0" borderId="1" xfId="0" applyBorder="1" applyAlignment="1">
      <alignment horizontal="center" vertical="center"/>
    </xf>
    <xf numFmtId="0" fontId="0" fillId="0" borderId="23" xfId="0" applyBorder="1" applyAlignment="1">
      <alignment horizontal="center" vertical="center"/>
    </xf>
    <xf numFmtId="0" fontId="0" fillId="0" borderId="18" xfId="0" applyBorder="1" applyAlignment="1">
      <alignment horizontal="center" vertical="center"/>
    </xf>
    <xf numFmtId="0" fontId="0" fillId="0" borderId="24"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7" xfId="0" applyBorder="1" applyAlignment="1">
      <alignment horizontal="center" vertical="center"/>
    </xf>
    <xf numFmtId="0" fontId="0" fillId="3" borderId="14" xfId="0" applyFill="1" applyBorder="1" applyAlignment="1">
      <alignment horizontal="center" vertical="center"/>
    </xf>
    <xf numFmtId="0" fontId="0" fillId="0" borderId="12" xfId="0" applyBorder="1" applyAlignment="1">
      <alignment horizontal="center" vertical="center"/>
    </xf>
    <xf numFmtId="0" fontId="0" fillId="0" borderId="0" xfId="0" applyAlignment="1">
      <alignment horizontal="center"/>
    </xf>
    <xf numFmtId="16" fontId="0" fillId="0" borderId="88" xfId="0" applyNumberFormat="1" applyBorder="1" applyAlignment="1">
      <alignment horizontal="center"/>
    </xf>
    <xf numFmtId="16" fontId="0" fillId="0" borderId="0" xfId="0" applyNumberFormat="1" applyAlignment="1">
      <alignment horizontal="center"/>
    </xf>
    <xf numFmtId="0" fontId="0" fillId="0" borderId="7" xfId="0" applyBorder="1" applyAlignment="1">
      <alignment horizontal="center"/>
    </xf>
    <xf numFmtId="0" fontId="0" fillId="3" borderId="7" xfId="0" applyFill="1" applyBorder="1" applyAlignment="1">
      <alignment horizontal="center" vertical="center"/>
    </xf>
    <xf numFmtId="16" fontId="0" fillId="0" borderId="9" xfId="0" applyNumberFormat="1" applyBorder="1" applyAlignment="1">
      <alignment horizontal="center"/>
    </xf>
    <xf numFmtId="16" fontId="0" fillId="0" borderId="10" xfId="0" applyNumberFormat="1" applyBorder="1" applyAlignment="1">
      <alignment horizontal="center"/>
    </xf>
    <xf numFmtId="16" fontId="0" fillId="0" borderId="11" xfId="0" applyNumberFormat="1" applyBorder="1" applyAlignment="1">
      <alignment horizontal="center"/>
    </xf>
    <xf numFmtId="0" fontId="0" fillId="0" borderId="88" xfId="0" applyBorder="1" applyAlignment="1">
      <alignment horizontal="center"/>
    </xf>
    <xf numFmtId="0" fontId="0" fillId="0" borderId="107" xfId="0" applyBorder="1" applyAlignment="1">
      <alignment horizontal="center" vertical="center" wrapText="1"/>
    </xf>
    <xf numFmtId="0" fontId="0" fillId="0" borderId="100" xfId="0" applyBorder="1" applyAlignment="1">
      <alignment horizontal="center" vertical="center" wrapText="1"/>
    </xf>
    <xf numFmtId="0" fontId="0" fillId="0" borderId="101" xfId="0" applyBorder="1" applyAlignment="1">
      <alignment horizontal="center" vertical="center" wrapText="1"/>
    </xf>
    <xf numFmtId="0" fontId="0" fillId="0" borderId="104" xfId="0" applyBorder="1" applyAlignment="1">
      <alignment horizontal="center" vertical="center" wrapText="1"/>
    </xf>
    <xf numFmtId="0" fontId="0" fillId="0" borderId="105" xfId="0" applyBorder="1" applyAlignment="1">
      <alignment horizontal="center" vertical="center" wrapText="1"/>
    </xf>
    <xf numFmtId="0" fontId="0" fillId="0" borderId="106" xfId="0" applyBorder="1" applyAlignment="1">
      <alignment horizontal="center" vertical="center" wrapText="1"/>
    </xf>
    <xf numFmtId="0" fontId="0" fillId="0" borderId="80" xfId="0" applyBorder="1" applyAlignment="1">
      <alignment horizontal="center" vertical="center" wrapText="1"/>
    </xf>
    <xf numFmtId="0" fontId="0" fillId="0" borderId="81" xfId="0" applyBorder="1" applyAlignment="1">
      <alignment horizontal="center" vertical="center" wrapText="1"/>
    </xf>
    <xf numFmtId="0" fontId="0" fillId="0" borderId="82" xfId="0" applyBorder="1" applyAlignment="1">
      <alignment horizontal="center" vertical="center" wrapText="1"/>
    </xf>
    <xf numFmtId="0" fontId="0" fillId="0" borderId="89" xfId="0" applyBorder="1" applyAlignment="1">
      <alignment horizontal="center" vertical="center" wrapText="1"/>
    </xf>
    <xf numFmtId="0" fontId="0" fillId="0" borderId="90" xfId="0" applyBorder="1" applyAlignment="1">
      <alignment horizontal="center" vertical="center" wrapText="1"/>
    </xf>
    <xf numFmtId="0" fontId="0" fillId="0" borderId="91" xfId="0" applyBorder="1" applyAlignment="1">
      <alignment horizontal="center" vertical="center" wrapText="1"/>
    </xf>
    <xf numFmtId="0" fontId="0" fillId="0" borderId="89" xfId="0" applyBorder="1" applyAlignment="1">
      <alignment vertical="center" wrapText="1"/>
    </xf>
    <xf numFmtId="0" fontId="0" fillId="0" borderId="90" xfId="0" applyBorder="1" applyAlignment="1">
      <alignment vertical="center" wrapText="1"/>
    </xf>
    <xf numFmtId="0" fontId="0" fillId="0" borderId="91" xfId="0" applyBorder="1" applyAlignment="1">
      <alignment vertical="center" wrapText="1"/>
    </xf>
    <xf numFmtId="0" fontId="0" fillId="0" borderId="104" xfId="0" applyBorder="1" applyAlignment="1">
      <alignment vertical="center" wrapText="1"/>
    </xf>
    <xf numFmtId="0" fontId="0" fillId="0" borderId="105" xfId="0" applyBorder="1" applyAlignment="1">
      <alignment vertical="center" wrapText="1"/>
    </xf>
    <xf numFmtId="0" fontId="0" fillId="0" borderId="106" xfId="0" applyBorder="1" applyAlignment="1">
      <alignment vertical="center" wrapText="1"/>
    </xf>
    <xf numFmtId="0" fontId="0" fillId="3" borderId="2" xfId="0" applyFill="1" applyBorder="1" applyAlignment="1">
      <alignment horizontal="left" vertical="top" wrapText="1"/>
    </xf>
    <xf numFmtId="0" fontId="0" fillId="3" borderId="3" xfId="0" applyFill="1" applyBorder="1" applyAlignment="1">
      <alignment horizontal="left" vertical="top" wrapText="1"/>
    </xf>
    <xf numFmtId="0" fontId="0" fillId="3" borderId="4" xfId="0" applyFill="1" applyBorder="1" applyAlignment="1">
      <alignment horizontal="left" vertical="top" wrapText="1"/>
    </xf>
    <xf numFmtId="0" fontId="0" fillId="0" borderId="38" xfId="0" applyBorder="1" applyAlignment="1">
      <alignment horizontal="left" vertical="top" wrapText="1"/>
    </xf>
    <xf numFmtId="0" fontId="0" fillId="0" borderId="39" xfId="0" applyBorder="1" applyAlignment="1">
      <alignment horizontal="left" vertical="top" wrapText="1"/>
    </xf>
    <xf numFmtId="0" fontId="0" fillId="0" borderId="40" xfId="0" applyBorder="1" applyAlignment="1">
      <alignment horizontal="left" vertical="top" wrapText="1"/>
    </xf>
    <xf numFmtId="0" fontId="0" fillId="0" borderId="27" xfId="0" applyBorder="1" applyAlignment="1">
      <alignment horizontal="left" vertical="top" wrapText="1"/>
    </xf>
    <xf numFmtId="0" fontId="0" fillId="0" borderId="28" xfId="0" applyBorder="1" applyAlignment="1">
      <alignment horizontal="left" vertical="top" wrapText="1"/>
    </xf>
    <xf numFmtId="0" fontId="0" fillId="0" borderId="29" xfId="0" applyBorder="1" applyAlignment="1">
      <alignment horizontal="left" vertical="top" wrapText="1"/>
    </xf>
    <xf numFmtId="0" fontId="0" fillId="0" borderId="27" xfId="0" applyBorder="1" applyAlignment="1">
      <alignment horizontal="center" vertical="center" wrapText="1"/>
    </xf>
    <xf numFmtId="0" fontId="0" fillId="0" borderId="28" xfId="0" applyBorder="1" applyAlignment="1">
      <alignment horizontal="center" vertical="center" wrapText="1"/>
    </xf>
    <xf numFmtId="0" fontId="0" fillId="0" borderId="29" xfId="0" applyBorder="1" applyAlignment="1">
      <alignment horizontal="center" vertical="center" wrapText="1"/>
    </xf>
    <xf numFmtId="0" fontId="0" fillId="0" borderId="71" xfId="0" applyBorder="1" applyAlignment="1">
      <alignment horizontal="center" vertical="center" wrapText="1"/>
    </xf>
    <xf numFmtId="0" fontId="0" fillId="0" borderId="0" xfId="0" applyAlignment="1">
      <alignment horizontal="center" vertical="center" wrapText="1"/>
    </xf>
    <xf numFmtId="0" fontId="0" fillId="0" borderId="72" xfId="0" applyBorder="1" applyAlignment="1">
      <alignment horizontal="center" vertical="center" wrapText="1"/>
    </xf>
    <xf numFmtId="0" fontId="0" fillId="0" borderId="77" xfId="0" applyBorder="1" applyAlignment="1">
      <alignment horizontal="center" vertical="center" wrapText="1"/>
    </xf>
    <xf numFmtId="0" fontId="0" fillId="0" borderId="98" xfId="0" applyBorder="1" applyAlignment="1">
      <alignment horizontal="center" vertical="center" wrapText="1"/>
    </xf>
    <xf numFmtId="0" fontId="0" fillId="0" borderId="99" xfId="0" applyBorder="1" applyAlignment="1">
      <alignment horizontal="center" vertical="center" wrapText="1"/>
    </xf>
    <xf numFmtId="0" fontId="0" fillId="0" borderId="88" xfId="0" applyBorder="1" applyAlignment="1">
      <alignment horizontal="center" vertical="center"/>
    </xf>
    <xf numFmtId="0" fontId="0" fillId="0" borderId="0" xfId="0" applyAlignment="1">
      <alignment horizontal="center" vertical="center"/>
    </xf>
    <xf numFmtId="16" fontId="0" fillId="0" borderId="73" xfId="0" applyNumberFormat="1" applyBorder="1" applyAlignment="1">
      <alignment horizontal="center" vertical="center"/>
    </xf>
    <xf numFmtId="16" fontId="0" fillId="0" borderId="75" xfId="0" applyNumberFormat="1" applyBorder="1" applyAlignment="1">
      <alignment horizontal="center" vertical="center"/>
    </xf>
    <xf numFmtId="16" fontId="0" fillId="0" borderId="67" xfId="0" applyNumberFormat="1" applyBorder="1" applyAlignment="1">
      <alignment horizontal="center" vertical="center"/>
    </xf>
    <xf numFmtId="16" fontId="0" fillId="0" borderId="9" xfId="0" applyNumberFormat="1" applyBorder="1" applyAlignment="1">
      <alignment horizontal="center" vertical="center"/>
    </xf>
    <xf numFmtId="16" fontId="0" fillId="0" borderId="10" xfId="0" applyNumberFormat="1" applyBorder="1" applyAlignment="1">
      <alignment horizontal="center" vertical="center"/>
    </xf>
    <xf numFmtId="16" fontId="0" fillId="0" borderId="11" xfId="0" applyNumberFormat="1" applyBorder="1" applyAlignment="1">
      <alignment horizontal="center" vertical="center"/>
    </xf>
    <xf numFmtId="16" fontId="0" fillId="0" borderId="57" xfId="0" applyNumberFormat="1" applyBorder="1" applyAlignment="1">
      <alignment horizontal="center" vertical="center"/>
    </xf>
    <xf numFmtId="16" fontId="0" fillId="0" borderId="59" xfId="0" applyNumberFormat="1" applyBorder="1" applyAlignment="1">
      <alignment horizontal="center" vertical="center"/>
    </xf>
    <xf numFmtId="16" fontId="0" fillId="0" borderId="61" xfId="0" applyNumberFormat="1" applyBorder="1" applyAlignment="1">
      <alignment horizontal="center" vertical="center"/>
    </xf>
    <xf numFmtId="16" fontId="0" fillId="0" borderId="55" xfId="0" applyNumberFormat="1" applyBorder="1" applyAlignment="1">
      <alignment horizontal="center" vertical="center"/>
    </xf>
    <xf numFmtId="0" fontId="0" fillId="0" borderId="56" xfId="0" applyBorder="1" applyAlignment="1">
      <alignment horizontal="center" vertical="center"/>
    </xf>
    <xf numFmtId="0" fontId="0" fillId="0" borderId="75" xfId="0" applyBorder="1" applyAlignment="1">
      <alignment horizontal="center" vertical="center"/>
    </xf>
    <xf numFmtId="0" fontId="0" fillId="0" borderId="93" xfId="0" applyBorder="1" applyAlignment="1">
      <alignment horizontal="center" vertical="center"/>
    </xf>
    <xf numFmtId="0" fontId="0" fillId="0" borderId="45" xfId="0" applyBorder="1" applyAlignment="1">
      <alignment horizontal="center" vertical="center"/>
    </xf>
    <xf numFmtId="0" fontId="0" fillId="0" borderId="46" xfId="0" applyBorder="1" applyAlignment="1">
      <alignment horizontal="center" vertical="center"/>
    </xf>
    <xf numFmtId="16" fontId="0" fillId="0" borderId="47" xfId="0" applyNumberFormat="1" applyBorder="1" applyAlignment="1">
      <alignment horizontal="center" vertical="center"/>
    </xf>
    <xf numFmtId="16" fontId="0" fillId="0" borderId="48" xfId="0" applyNumberFormat="1" applyBorder="1" applyAlignment="1">
      <alignment horizontal="center" vertical="center"/>
    </xf>
    <xf numFmtId="16" fontId="0" fillId="0" borderId="49" xfId="0" applyNumberFormat="1" applyBorder="1" applyAlignment="1">
      <alignment horizontal="center" vertical="center"/>
    </xf>
    <xf numFmtId="0" fontId="0" fillId="0" borderId="58" xfId="0" applyBorder="1" applyAlignment="1">
      <alignment horizontal="center" vertical="center"/>
    </xf>
    <xf numFmtId="0" fontId="0" fillId="0" borderId="62" xfId="0" applyBorder="1" applyAlignment="1">
      <alignment horizontal="center" vertical="center"/>
    </xf>
    <xf numFmtId="0" fontId="0" fillId="0" borderId="67" xfId="0" applyBorder="1" applyAlignment="1">
      <alignment horizontal="center" vertical="center"/>
    </xf>
    <xf numFmtId="15" fontId="0" fillId="0" borderId="73" xfId="0" applyNumberFormat="1" applyBorder="1" applyAlignment="1">
      <alignment horizontal="center" vertical="center"/>
    </xf>
    <xf numFmtId="15" fontId="0" fillId="0" borderId="75" xfId="0" applyNumberFormat="1" applyBorder="1" applyAlignment="1">
      <alignment horizontal="center" vertical="center"/>
    </xf>
    <xf numFmtId="15" fontId="0" fillId="0" borderId="67" xfId="0" applyNumberFormat="1" applyBorder="1" applyAlignment="1">
      <alignment horizontal="center" vertical="center"/>
    </xf>
    <xf numFmtId="0" fontId="0" fillId="5" borderId="7" xfId="0" applyFill="1" applyBorder="1" applyAlignment="1">
      <alignment horizontal="center" vertical="center" wrapText="1"/>
    </xf>
    <xf numFmtId="0" fontId="0" fillId="5" borderId="7" xfId="0" applyFill="1" applyBorder="1" applyAlignment="1">
      <alignment horizontal="center" vertical="center"/>
    </xf>
    <xf numFmtId="16" fontId="0" fillId="3" borderId="2" xfId="0" applyNumberFormat="1" applyFill="1" applyBorder="1" applyAlignment="1">
      <alignment horizontal="center" vertical="center"/>
    </xf>
    <xf numFmtId="16" fontId="0" fillId="3" borderId="3" xfId="0" applyNumberFormat="1" applyFill="1" applyBorder="1" applyAlignment="1">
      <alignment horizontal="center" vertical="center"/>
    </xf>
    <xf numFmtId="16" fontId="0" fillId="3" borderId="4" xfId="0" applyNumberFormat="1" applyFill="1" applyBorder="1" applyAlignment="1">
      <alignment horizontal="center" vertical="center"/>
    </xf>
    <xf numFmtId="16" fontId="0" fillId="0" borderId="92" xfId="0" applyNumberFormat="1" applyBorder="1" applyAlignment="1">
      <alignment horizontal="center" vertical="center"/>
    </xf>
    <xf numFmtId="16" fontId="0" fillId="0" borderId="0" xfId="0" applyNumberFormat="1" applyAlignment="1">
      <alignment horizontal="center" vertic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52" xfId="0" applyBorder="1" applyAlignment="1">
      <alignment horizontal="center" vertical="center"/>
    </xf>
    <xf numFmtId="0" fontId="0" fillId="0" borderId="53" xfId="0" applyBorder="1" applyAlignment="1">
      <alignment horizontal="center" vertical="center"/>
    </xf>
    <xf numFmtId="16" fontId="0" fillId="7" borderId="0" xfId="0" applyNumberFormat="1" applyFill="1" applyAlignment="1">
      <alignment horizontal="center" vertical="center"/>
    </xf>
    <xf numFmtId="16" fontId="0" fillId="3" borderId="43" xfId="0" applyNumberFormat="1" applyFill="1" applyBorder="1" applyAlignment="1">
      <alignment horizontal="center" vertical="center"/>
    </xf>
    <xf numFmtId="16" fontId="0" fillId="3" borderId="0" xfId="0" applyNumberFormat="1" applyFill="1" applyAlignment="1">
      <alignment horizontal="center" vertical="center"/>
    </xf>
    <xf numFmtId="0" fontId="0" fillId="0" borderId="43" xfId="0" applyBorder="1" applyAlignment="1">
      <alignment horizontal="center" vertical="center"/>
    </xf>
    <xf numFmtId="0" fontId="0" fillId="0" borderId="44" xfId="0" applyBorder="1" applyAlignment="1">
      <alignment horizontal="center" vertical="center" wrapText="1"/>
    </xf>
    <xf numFmtId="20" fontId="0" fillId="0" borderId="0" xfId="0" applyNumberFormat="1" applyAlignment="1">
      <alignment horizontal="center" vertical="center"/>
    </xf>
    <xf numFmtId="0" fontId="0" fillId="0" borderId="9"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55" xfId="0" applyBorder="1" applyAlignment="1">
      <alignment horizontal="center"/>
    </xf>
    <xf numFmtId="0" fontId="0" fillId="0" borderId="56" xfId="0" applyBorder="1" applyAlignment="1">
      <alignment horizontal="center"/>
    </xf>
    <xf numFmtId="0" fontId="0" fillId="0" borderId="41" xfId="0" applyBorder="1" applyAlignment="1">
      <alignment horizontal="center"/>
    </xf>
    <xf numFmtId="0" fontId="0" fillId="3" borderId="9" xfId="0" applyFill="1" applyBorder="1" applyAlignment="1">
      <alignment horizontal="center" vertical="center"/>
    </xf>
    <xf numFmtId="0" fontId="0" fillId="3" borderId="10" xfId="0" applyFill="1" applyBorder="1" applyAlignment="1">
      <alignment horizontal="center" vertical="center"/>
    </xf>
    <xf numFmtId="0" fontId="0" fillId="3" borderId="11" xfId="0" applyFill="1" applyBorder="1" applyAlignment="1">
      <alignment horizontal="center" vertical="center"/>
    </xf>
    <xf numFmtId="0" fontId="0" fillId="3" borderId="102" xfId="0" applyFill="1" applyBorder="1" applyAlignment="1">
      <alignment horizontal="center" vertical="center"/>
    </xf>
    <xf numFmtId="0" fontId="0" fillId="3" borderId="15" xfId="0" applyFill="1" applyBorder="1" applyAlignment="1">
      <alignment horizontal="center" vertical="center"/>
    </xf>
    <xf numFmtId="0" fontId="0" fillId="3" borderId="52" xfId="0" applyFill="1" applyBorder="1" applyAlignment="1">
      <alignment horizontal="center" vertical="center"/>
    </xf>
    <xf numFmtId="0" fontId="0" fillId="3" borderId="53" xfId="0" applyFill="1" applyBorder="1" applyAlignment="1">
      <alignment horizontal="center" vertical="center"/>
    </xf>
    <xf numFmtId="0" fontId="0" fillId="3" borderId="54" xfId="0" applyFill="1" applyBorder="1" applyAlignment="1">
      <alignment horizontal="center" vertical="center"/>
    </xf>
    <xf numFmtId="0" fontId="0" fillId="3" borderId="55" xfId="0" applyFill="1" applyBorder="1" applyAlignment="1">
      <alignment horizontal="center" vertical="center"/>
    </xf>
    <xf numFmtId="0" fontId="0" fillId="3" borderId="56" xfId="0" applyFill="1" applyBorder="1" applyAlignment="1">
      <alignment horizontal="center" vertical="center"/>
    </xf>
    <xf numFmtId="0" fontId="0" fillId="3" borderId="41" xfId="0" applyFill="1" applyBorder="1" applyAlignment="1">
      <alignment horizontal="center" vertical="center"/>
    </xf>
    <xf numFmtId="0" fontId="0" fillId="3" borderId="9" xfId="0" applyFill="1" applyBorder="1" applyAlignment="1">
      <alignment horizontal="center" vertical="center" wrapText="1"/>
    </xf>
    <xf numFmtId="0" fontId="0" fillId="3" borderId="10" xfId="0" applyFill="1" applyBorder="1" applyAlignment="1">
      <alignment horizontal="center" vertical="center" wrapText="1"/>
    </xf>
    <xf numFmtId="0" fontId="0" fillId="3" borderId="11" xfId="0" applyFill="1" applyBorder="1" applyAlignment="1">
      <alignment horizontal="center" vertical="center" wrapText="1"/>
    </xf>
    <xf numFmtId="0" fontId="0" fillId="3" borderId="7" xfId="0" applyFill="1" applyBorder="1" applyAlignment="1">
      <alignment horizontal="center" vertical="center" wrapText="1"/>
    </xf>
    <xf numFmtId="0" fontId="0" fillId="3" borderId="56" xfId="0" applyFill="1" applyBorder="1" applyAlignment="1">
      <alignment horizontal="center" vertical="center" wrapText="1"/>
    </xf>
    <xf numFmtId="0" fontId="0" fillId="0" borderId="44" xfId="0" applyBorder="1" applyAlignment="1">
      <alignment horizontal="center" vertical="center"/>
    </xf>
    <xf numFmtId="0" fontId="0" fillId="0" borderId="7" xfId="0" applyBorder="1" applyAlignment="1">
      <alignment horizontal="center" wrapText="1"/>
    </xf>
    <xf numFmtId="0" fontId="0" fillId="0" borderId="9" xfId="0" applyBorder="1" applyAlignment="1">
      <alignment horizontal="center" wrapText="1"/>
    </xf>
    <xf numFmtId="16" fontId="0" fillId="0" borderId="7" xfId="0" applyNumberFormat="1" applyBorder="1" applyAlignment="1">
      <alignment horizontal="center"/>
    </xf>
    <xf numFmtId="0" fontId="0" fillId="0" borderId="0" xfId="0" applyAlignment="1">
      <alignment vertical="center"/>
    </xf>
    <xf numFmtId="0" fontId="0" fillId="0" borderId="0" xfId="0" applyBorder="1"/>
    <xf numFmtId="16" fontId="0" fillId="0" borderId="5" xfId="0" applyNumberFormat="1" applyFill="1" applyBorder="1"/>
    <xf numFmtId="16" fontId="0" fillId="5" borderId="0" xfId="0" applyNumberFormat="1" applyFill="1" applyAlignment="1">
      <alignment horizontal="center" vertical="center"/>
    </xf>
    <xf numFmtId="165" fontId="0" fillId="0" borderId="2" xfId="0" applyNumberFormat="1" applyBorder="1" applyAlignment="1">
      <alignment vertical="center"/>
    </xf>
    <xf numFmtId="0" fontId="0" fillId="0" borderId="7" xfId="0" applyBorder="1" applyAlignment="1"/>
    <xf numFmtId="16" fontId="0" fillId="5" borderId="2" xfId="0" applyNumberFormat="1" applyFill="1" applyBorder="1" applyAlignment="1">
      <alignment horizontal="center" vertical="center"/>
    </xf>
    <xf numFmtId="16" fontId="0" fillId="5" borderId="3" xfId="0" applyNumberFormat="1" applyFill="1" applyBorder="1" applyAlignment="1">
      <alignment horizontal="center" vertical="center"/>
    </xf>
    <xf numFmtId="16" fontId="0" fillId="5" borderId="4" xfId="0" applyNumberFormat="1" applyFill="1" applyBorder="1" applyAlignment="1">
      <alignment horizontal="center" vertical="center"/>
    </xf>
    <xf numFmtId="16" fontId="0" fillId="3" borderId="0" xfId="0" applyNumberFormat="1" applyFill="1" applyAlignment="1">
      <alignment horizontal="center"/>
    </xf>
    <xf numFmtId="0" fontId="0" fillId="3" borderId="0" xfId="0" applyFill="1" applyAlignment="1">
      <alignment horizontal="center"/>
    </xf>
    <xf numFmtId="0" fontId="0" fillId="0" borderId="1" xfId="0" applyBorder="1" applyAlignment="1">
      <alignment vertical="center" wrapText="1"/>
    </xf>
    <xf numFmtId="16" fontId="0" fillId="0" borderId="54" xfId="0" applyNumberFormat="1" applyFill="1" applyBorder="1"/>
    <xf numFmtId="0" fontId="13" fillId="0" borderId="0" xfId="1" applyFont="1" applyAlignment="1">
      <alignment wrapText="1"/>
    </xf>
    <xf numFmtId="0" fontId="9" fillId="0" borderId="0" xfId="0" applyFont="1"/>
    <xf numFmtId="20" fontId="0" fillId="3" borderId="7" xfId="0" applyNumberFormat="1" applyFill="1" applyBorder="1" applyAlignment="1">
      <alignment horizontal="center" wrapText="1"/>
    </xf>
    <xf numFmtId="16" fontId="0" fillId="0" borderId="7" xfId="0" applyNumberFormat="1" applyBorder="1" applyAlignment="1">
      <alignment horizontal="left" indent="1"/>
    </xf>
    <xf numFmtId="0" fontId="0" fillId="0" borderId="7" xfId="0" applyBorder="1" applyAlignment="1">
      <alignment horizontal="center" vertical="center" wrapText="1"/>
    </xf>
    <xf numFmtId="0" fontId="0" fillId="0" borderId="7" xfId="0" applyBorder="1" applyAlignment="1">
      <alignment horizontal="left" indent="1"/>
    </xf>
    <xf numFmtId="0" fontId="3" fillId="0" borderId="7" xfId="0" applyFont="1" applyBorder="1" applyAlignment="1">
      <alignment horizontal="left" indent="1"/>
    </xf>
    <xf numFmtId="0" fontId="0" fillId="0" borderId="7" xfId="0" applyBorder="1" applyAlignment="1">
      <alignment horizontal="center" vertical="center" wrapText="1"/>
    </xf>
    <xf numFmtId="0" fontId="0" fillId="0" borderId="0" xfId="0" applyBorder="1" applyAlignment="1">
      <alignment horizontal="center" vertical="center"/>
    </xf>
    <xf numFmtId="0" fontId="0" fillId="5" borderId="3" xfId="0" applyFill="1" applyBorder="1" applyAlignment="1">
      <alignment horizontal="center" vertical="center"/>
    </xf>
    <xf numFmtId="0" fontId="0" fillId="0" borderId="0" xfId="0" applyBorder="1" applyAlignment="1">
      <alignment wrapText="1"/>
    </xf>
    <xf numFmtId="0" fontId="0" fillId="0" borderId="0" xfId="0" applyBorder="1" applyAlignment="1">
      <alignment horizontal="center"/>
    </xf>
    <xf numFmtId="0" fontId="0" fillId="4" borderId="9" xfId="0" applyFill="1" applyBorder="1" applyAlignment="1">
      <alignment vertical="center"/>
    </xf>
    <xf numFmtId="0" fontId="0" fillId="4" borderId="9" xfId="0" applyFill="1" applyBorder="1"/>
    <xf numFmtId="0" fontId="0" fillId="4" borderId="8" xfId="0" applyFill="1" applyBorder="1"/>
    <xf numFmtId="0" fontId="0" fillId="4" borderId="7" xfId="0" applyFill="1" applyBorder="1" applyAlignment="1">
      <alignment vertical="center"/>
    </xf>
    <xf numFmtId="0" fontId="0" fillId="5" borderId="2" xfId="0" applyFill="1" applyBorder="1" applyAlignment="1">
      <alignment horizontal="center" vertical="center"/>
    </xf>
    <xf numFmtId="0" fontId="0" fillId="4" borderId="4" xfId="0" applyFill="1" applyBorder="1" applyAlignment="1">
      <alignment horizontal="center" vertical="center"/>
    </xf>
    <xf numFmtId="0" fontId="0" fillId="4" borderId="4" xfId="0" applyFill="1" applyBorder="1"/>
    <xf numFmtId="16" fontId="0" fillId="0" borderId="0" xfId="0" applyNumberFormat="1" applyBorder="1" applyAlignment="1">
      <alignment horizontal="center" vertical="center"/>
    </xf>
    <xf numFmtId="0" fontId="0" fillId="4" borderId="2" xfId="0" applyFill="1" applyBorder="1" applyAlignment="1">
      <alignment wrapText="1"/>
    </xf>
    <xf numFmtId="0" fontId="0" fillId="4" borderId="7" xfId="0" applyFill="1" applyBorder="1" applyAlignment="1">
      <alignment wrapText="1"/>
    </xf>
    <xf numFmtId="0" fontId="0" fillId="4" borderId="4" xfId="0" applyFill="1" applyBorder="1" applyAlignment="1">
      <alignment wrapText="1"/>
    </xf>
    <xf numFmtId="0" fontId="0" fillId="4" borderId="7" xfId="0" applyFill="1" applyBorder="1" applyAlignment="1"/>
    <xf numFmtId="16" fontId="0" fillId="3" borderId="52" xfId="0" applyNumberFormat="1" applyFill="1" applyBorder="1"/>
    <xf numFmtId="0" fontId="0" fillId="0" borderId="1" xfId="0" applyBorder="1" applyAlignment="1">
      <alignment vertical="center"/>
    </xf>
    <xf numFmtId="0" fontId="1" fillId="2" borderId="1" xfId="0" applyFont="1" applyFill="1" applyBorder="1" applyAlignment="1">
      <alignment horizontal="center"/>
    </xf>
    <xf numFmtId="0" fontId="1" fillId="4" borderId="1" xfId="0" applyFont="1" applyFill="1" applyBorder="1" applyAlignment="1">
      <alignment horizontal="center"/>
    </xf>
    <xf numFmtId="16" fontId="0" fillId="3" borderId="1" xfId="0" applyNumberFormat="1" applyFill="1" applyBorder="1" applyAlignment="1">
      <alignment horizontal="center"/>
    </xf>
    <xf numFmtId="0" fontId="0" fillId="4" borderId="1" xfId="0" applyFill="1" applyBorder="1" applyAlignment="1">
      <alignment horizontal="center"/>
    </xf>
    <xf numFmtId="0" fontId="1" fillId="0" borderId="1" xfId="0" applyFont="1" applyBorder="1" applyAlignment="1">
      <alignment horizontal="center"/>
    </xf>
    <xf numFmtId="16" fontId="0" fillId="5" borderId="1" xfId="0" applyNumberFormat="1" applyFill="1" applyBorder="1" applyAlignment="1">
      <alignment horizontal="center"/>
    </xf>
    <xf numFmtId="16" fontId="0" fillId="7" borderId="0" xfId="0" applyNumberFormat="1" applyFill="1" applyAlignment="1">
      <alignment horizontal="center"/>
    </xf>
    <xf numFmtId="16" fontId="0" fillId="5" borderId="0" xfId="0" applyNumberFormat="1" applyFill="1" applyAlignment="1">
      <alignment horizontal="center"/>
    </xf>
    <xf numFmtId="0" fontId="0" fillId="0" borderId="2" xfId="0" applyBorder="1" applyAlignment="1">
      <alignment vertical="center"/>
    </xf>
    <xf numFmtId="0" fontId="0" fillId="0" borderId="3" xfId="0" applyBorder="1" applyAlignment="1">
      <alignment vertical="center"/>
    </xf>
    <xf numFmtId="0" fontId="0" fillId="0" borderId="4" xfId="0" applyBorder="1" applyAlignment="1">
      <alignment vertical="center"/>
    </xf>
    <xf numFmtId="0" fontId="0" fillId="5" borderId="1" xfId="0" applyFill="1" applyBorder="1" applyAlignment="1">
      <alignment vertical="center"/>
    </xf>
    <xf numFmtId="0" fontId="0" fillId="5" borderId="3" xfId="0" applyFill="1" applyBorder="1" applyAlignment="1">
      <alignment vertical="center"/>
    </xf>
    <xf numFmtId="0" fontId="0" fillId="3" borderId="9" xfId="0" applyFill="1" applyBorder="1" applyAlignment="1">
      <alignment horizont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0" xfId="0" applyAlignment="1">
      <alignment vertical="top"/>
    </xf>
    <xf numFmtId="0" fontId="0" fillId="0" borderId="7" xfId="0" applyBorder="1" applyAlignment="1">
      <alignment vertical="top"/>
    </xf>
    <xf numFmtId="15" fontId="0" fillId="0" borderId="7" xfId="0" applyNumberFormat="1" applyBorder="1" applyAlignment="1">
      <alignment horizontal="center" vertical="center"/>
    </xf>
    <xf numFmtId="0" fontId="0" fillId="0" borderId="7" xfId="0" applyBorder="1" applyAlignment="1">
      <alignment vertical="top" wrapText="1"/>
    </xf>
    <xf numFmtId="165" fontId="0" fillId="3" borderId="2" xfId="0" applyNumberFormat="1" applyFill="1" applyBorder="1" applyAlignment="1">
      <alignment vertical="center"/>
    </xf>
    <xf numFmtId="16" fontId="0" fillId="4" borderId="1" xfId="0" applyNumberFormat="1" applyFill="1" applyBorder="1" applyAlignment="1">
      <alignment vertical="center"/>
    </xf>
    <xf numFmtId="16" fontId="0" fillId="4" borderId="2" xfId="0" applyNumberFormat="1" applyFill="1" applyBorder="1" applyAlignment="1">
      <alignment vertical="center"/>
    </xf>
    <xf numFmtId="0" fontId="0" fillId="5" borderId="0" xfId="0" applyFill="1" applyAlignment="1">
      <alignment vertical="center"/>
    </xf>
    <xf numFmtId="16" fontId="0" fillId="4" borderId="1" xfId="0" applyNumberFormat="1" applyFill="1" applyBorder="1" applyAlignment="1">
      <alignment horizontal="center" vertical="center"/>
    </xf>
    <xf numFmtId="16" fontId="0" fillId="4" borderId="2" xfId="0" applyNumberFormat="1" applyFill="1" applyBorder="1" applyAlignment="1">
      <alignment horizontal="center" vertical="center"/>
    </xf>
    <xf numFmtId="16" fontId="0" fillId="4" borderId="4" xfId="0" applyNumberFormat="1" applyFill="1" applyBorder="1" applyAlignment="1">
      <alignment horizontal="center" vertical="center"/>
    </xf>
    <xf numFmtId="16" fontId="0" fillId="4" borderId="56" xfId="0" applyNumberFormat="1" applyFill="1" applyBorder="1" applyAlignment="1">
      <alignment horizontal="center" vertical="center"/>
    </xf>
    <xf numFmtId="0" fontId="1" fillId="2" borderId="1" xfId="0" applyFont="1" applyFill="1" applyBorder="1" applyAlignment="1">
      <alignment vertical="center"/>
    </xf>
    <xf numFmtId="0" fontId="1" fillId="2" borderId="1" xfId="0" applyFont="1" applyFill="1" applyBorder="1" applyAlignment="1">
      <alignment vertical="center" wrapText="1"/>
    </xf>
    <xf numFmtId="165" fontId="1" fillId="2" borderId="1" xfId="0" applyNumberFormat="1" applyFont="1" applyFill="1" applyBorder="1" applyAlignment="1">
      <alignment vertical="center" wrapText="1"/>
    </xf>
    <xf numFmtId="0" fontId="1" fillId="4" borderId="1" xfId="0" applyFont="1" applyFill="1" applyBorder="1" applyAlignment="1">
      <alignment vertical="center"/>
    </xf>
    <xf numFmtId="0" fontId="0" fillId="3" borderId="1" xfId="0" applyFill="1" applyBorder="1" applyAlignment="1">
      <alignment vertical="center"/>
    </xf>
    <xf numFmtId="0" fontId="0" fillId="4" borderId="1" xfId="0" applyFill="1" applyBorder="1" applyAlignment="1">
      <alignment vertical="center"/>
    </xf>
    <xf numFmtId="0" fontId="0" fillId="0" borderId="6" xfId="0" applyBorder="1" applyAlignment="1">
      <alignment vertical="center"/>
    </xf>
    <xf numFmtId="0" fontId="6" fillId="0" borderId="1" xfId="1" applyBorder="1" applyAlignment="1">
      <alignment vertical="center"/>
    </xf>
    <xf numFmtId="0" fontId="6" fillId="0" borderId="2" xfId="1" applyBorder="1" applyAlignment="1">
      <alignment vertical="center"/>
    </xf>
    <xf numFmtId="0" fontId="0" fillId="0" borderId="15" xfId="0" applyBorder="1" applyAlignment="1">
      <alignment vertical="center"/>
    </xf>
    <xf numFmtId="0" fontId="6" fillId="0" borderId="15" xfId="1" applyBorder="1" applyAlignment="1">
      <alignment vertical="center"/>
    </xf>
    <xf numFmtId="0" fontId="0" fillId="0" borderId="64" xfId="0" applyBorder="1" applyAlignment="1">
      <alignment vertical="center"/>
    </xf>
    <xf numFmtId="0" fontId="6" fillId="0" borderId="64" xfId="1" applyBorder="1" applyAlignment="1">
      <alignment vertical="center"/>
    </xf>
    <xf numFmtId="0" fontId="0" fillId="0" borderId="65" xfId="0" applyBorder="1" applyAlignment="1">
      <alignment vertical="center"/>
    </xf>
    <xf numFmtId="0" fontId="6" fillId="0" borderId="6" xfId="1" applyBorder="1" applyAlignment="1">
      <alignment vertical="center"/>
    </xf>
    <xf numFmtId="16" fontId="10" fillId="9" borderId="1" xfId="0" applyNumberFormat="1" applyFont="1" applyFill="1" applyBorder="1" applyAlignment="1">
      <alignment vertical="center"/>
    </xf>
    <xf numFmtId="0" fontId="6" fillId="0" borderId="4" xfId="1" applyBorder="1" applyAlignment="1">
      <alignment vertical="center"/>
    </xf>
    <xf numFmtId="16" fontId="10" fillId="9" borderId="103" xfId="0" applyNumberFormat="1" applyFont="1" applyFill="1" applyBorder="1" applyAlignment="1">
      <alignment vertical="center"/>
    </xf>
    <xf numFmtId="0" fontId="6" fillId="0" borderId="3" xfId="1" applyBorder="1" applyAlignment="1">
      <alignment vertical="center"/>
    </xf>
    <xf numFmtId="0" fontId="13" fillId="0" borderId="5" xfId="0" applyFont="1" applyBorder="1" applyAlignment="1">
      <alignment vertical="center"/>
    </xf>
    <xf numFmtId="0" fontId="13" fillId="0" borderId="1" xfId="0" applyFont="1" applyBorder="1" applyAlignment="1">
      <alignment vertical="center"/>
    </xf>
    <xf numFmtId="0" fontId="6" fillId="5" borderId="14" xfId="1" applyFill="1" applyBorder="1" applyAlignment="1">
      <alignment vertical="center"/>
    </xf>
    <xf numFmtId="0" fontId="6" fillId="5" borderId="6" xfId="1" applyFill="1" applyBorder="1" applyAlignment="1">
      <alignment vertical="center"/>
    </xf>
    <xf numFmtId="0" fontId="6" fillId="5" borderId="1" xfId="1" applyFill="1" applyBorder="1" applyAlignment="1">
      <alignment vertical="center"/>
    </xf>
    <xf numFmtId="0" fontId="1" fillId="5" borderId="2" xfId="0" applyFont="1" applyFill="1" applyBorder="1" applyAlignment="1">
      <alignment vertical="center"/>
    </xf>
    <xf numFmtId="0" fontId="1" fillId="0" borderId="2" xfId="0" applyFont="1" applyBorder="1" applyAlignment="1">
      <alignment vertical="center"/>
    </xf>
    <xf numFmtId="16" fontId="0" fillId="4" borderId="0" xfId="0" applyNumberFormat="1" applyFill="1" applyAlignment="1">
      <alignment vertical="center"/>
    </xf>
    <xf numFmtId="16" fontId="0" fillId="4" borderId="14" xfId="0" applyNumberFormat="1" applyFill="1" applyBorder="1" applyAlignment="1">
      <alignment vertical="center"/>
    </xf>
    <xf numFmtId="16" fontId="10" fillId="9" borderId="6" xfId="0" applyNumberFormat="1" applyFont="1" applyFill="1" applyBorder="1" applyAlignment="1">
      <alignment vertical="center"/>
    </xf>
    <xf numFmtId="165" fontId="0" fillId="0" borderId="0" xfId="0" applyNumberFormat="1" applyAlignment="1">
      <alignment vertical="center"/>
    </xf>
    <xf numFmtId="165" fontId="0" fillId="0" borderId="1" xfId="0" applyNumberFormat="1" applyBorder="1" applyAlignment="1">
      <alignment vertical="center"/>
    </xf>
    <xf numFmtId="165" fontId="0" fillId="3" borderId="4" xfId="0" applyNumberFormat="1" applyFill="1" applyBorder="1" applyAlignment="1">
      <alignment vertical="center"/>
    </xf>
    <xf numFmtId="165" fontId="0" fillId="3" borderId="3" xfId="0" applyNumberFormat="1" applyFill="1" applyBorder="1" applyAlignment="1">
      <alignment vertical="center"/>
    </xf>
    <xf numFmtId="0" fontId="0" fillId="4" borderId="6" xfId="0" applyFill="1" applyBorder="1"/>
    <xf numFmtId="16" fontId="0" fillId="4" borderId="4" xfId="0" applyNumberFormat="1" applyFill="1" applyBorder="1"/>
    <xf numFmtId="16" fontId="0" fillId="4" borderId="7" xfId="0" applyNumberFormat="1" applyFill="1" applyBorder="1"/>
    <xf numFmtId="0" fontId="0" fillId="0" borderId="10" xfId="0" applyBorder="1" applyAlignment="1">
      <alignment horizontal="center" vertical="center" wrapText="1"/>
    </xf>
    <xf numFmtId="0" fontId="7" fillId="0" borderId="7" xfId="0" applyFont="1" applyBorder="1" applyAlignment="1">
      <alignment horizontal="left" indent="1"/>
    </xf>
    <xf numFmtId="0" fontId="1" fillId="5" borderId="1" xfId="0" applyFont="1" applyFill="1" applyBorder="1" applyAlignment="1">
      <alignment vertical="center"/>
    </xf>
    <xf numFmtId="0" fontId="0" fillId="11" borderId="7" xfId="0" applyFill="1" applyBorder="1"/>
    <xf numFmtId="0" fontId="0" fillId="11" borderId="7" xfId="0" applyFill="1" applyBorder="1" applyAlignment="1">
      <alignment horizontal="center"/>
    </xf>
    <xf numFmtId="0" fontId="0" fillId="11" borderId="1" xfId="0" applyFill="1" applyBorder="1" applyAlignment="1">
      <alignment horizontal="center" vertical="center"/>
    </xf>
    <xf numFmtId="0" fontId="2" fillId="0" borderId="7" xfId="0" applyFont="1" applyBorder="1"/>
    <xf numFmtId="0" fontId="1" fillId="0" borderId="1" xfId="0" applyFont="1" applyBorder="1" applyAlignment="1">
      <alignment vertical="center"/>
    </xf>
    <xf numFmtId="0" fontId="0" fillId="0" borderId="9" xfId="0" applyBorder="1" applyAlignment="1">
      <alignment horizontal="center" vertical="center" wrapText="1"/>
    </xf>
    <xf numFmtId="0" fontId="0" fillId="0" borderId="7" xfId="0" applyBorder="1" applyAlignment="1">
      <alignment horizontal="center" indent="1"/>
    </xf>
    <xf numFmtId="0" fontId="0" fillId="0" borderId="7" xfId="0" applyBorder="1" applyAlignment="1">
      <alignment indent="1"/>
    </xf>
    <xf numFmtId="0" fontId="0" fillId="5" borderId="7" xfId="0" applyFill="1" applyBorder="1" applyAlignment="1">
      <alignment horizontal="left" wrapText="1"/>
    </xf>
    <xf numFmtId="0" fontId="1" fillId="2" borderId="7" xfId="0" applyFont="1" applyFill="1" applyBorder="1" applyAlignment="1">
      <alignment horizontal="left"/>
    </xf>
    <xf numFmtId="0" fontId="1" fillId="4" borderId="7" xfId="0" applyFont="1" applyFill="1" applyBorder="1" applyAlignment="1">
      <alignment horizontal="left"/>
    </xf>
    <xf numFmtId="16" fontId="0" fillId="3" borderId="7" xfId="0" applyNumberFormat="1" applyFill="1" applyBorder="1" applyAlignment="1">
      <alignment horizontal="left"/>
    </xf>
    <xf numFmtId="0" fontId="0" fillId="3" borderId="7" xfId="0" applyFill="1" applyBorder="1" applyAlignment="1">
      <alignment horizontal="left"/>
    </xf>
    <xf numFmtId="0" fontId="0" fillId="4" borderId="7" xfId="0" applyFill="1" applyBorder="1" applyAlignment="1">
      <alignment horizontal="left"/>
    </xf>
    <xf numFmtId="0" fontId="1" fillId="0" borderId="7" xfId="0" applyFont="1" applyBorder="1" applyAlignment="1">
      <alignment horizontal="left"/>
    </xf>
    <xf numFmtId="16" fontId="0" fillId="0" borderId="7" xfId="0" applyNumberFormat="1" applyBorder="1" applyAlignment="1">
      <alignment horizontal="left"/>
    </xf>
    <xf numFmtId="0" fontId="0" fillId="0" borderId="7" xfId="0" applyBorder="1" applyAlignment="1">
      <alignment horizontal="left" vertical="center" wrapText="1"/>
    </xf>
    <xf numFmtId="0" fontId="1" fillId="2" borderId="7" xfId="0" applyFont="1" applyFill="1" applyBorder="1" applyAlignment="1"/>
    <xf numFmtId="0" fontId="1" fillId="4" borderId="7" xfId="0" applyFont="1" applyFill="1" applyBorder="1" applyAlignment="1"/>
    <xf numFmtId="0" fontId="0" fillId="3" borderId="7" xfId="0" applyFill="1" applyBorder="1" applyAlignment="1"/>
  </cellXfs>
  <cellStyles count="2">
    <cellStyle name="Hyperlink" xfId="1" builtinId="8"/>
    <cellStyle name="Normal" xfId="0" builtinId="0"/>
  </cellStyles>
  <dxfs count="6">
    <dxf>
      <alignment horizontal="left" vertical="bottom" textRotation="0" wrapText="0" indent="1"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1" justifyLastLine="0" shrinkToFit="0" readingOrder="0"/>
      <border diagonalUp="0" diagonalDown="0">
        <left style="thin">
          <color indexed="64"/>
        </left>
        <right style="thin">
          <color indexed="64"/>
        </right>
        <top style="thin">
          <color indexed="64"/>
        </top>
        <bottom style="thin">
          <color indexed="64"/>
        </bottom>
        <vertical/>
        <horizontal/>
      </border>
    </dxf>
    <dxf>
      <numFmt numFmtId="167" formatCode="d\-mmm"/>
      <alignment horizontal="left" vertical="bottom" textRotation="0" wrapText="0" indent="1"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Narrow"/>
        <family val="2"/>
        <scheme val="minor"/>
      </font>
      <fill>
        <patternFill patternType="solid">
          <fgColor indexed="64"/>
          <bgColor theme="3" tint="0.89999084444715716"/>
        </patternFill>
      </fill>
      <alignment horizontal="left" vertical="bottom" textRotation="0" wrapText="0" indent="1"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GAIKWAD, SANDEEP" id="{BB452BB6-7938-473F-A02A-136EAA139D86}" userId="S::sandeep-jaywantrao.gaikwad@capgemini.com::7c391646-12be-498e-9036-3acd1ae34169"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3F9D79F-4903-4233-8F32-07D43FF50258}" name="Table1" displayName="Table1" ref="A1:E5" totalsRowShown="0" headerRowDxfId="5" headerRowBorderDxfId="4" tableBorderDxfId="3">
  <autoFilter ref="A1:E5" xr:uid="{53F9D79F-4903-4233-8F32-07D43FF50258}"/>
  <tableColumns count="5">
    <tableColumn id="1" xr3:uid="{302AD916-2D20-4CC0-8624-06AE006F8528}" name="Date" dataDxfId="2"/>
    <tableColumn id="2" xr3:uid="{5EE758A3-5704-4C99-A821-CCBEAFE5EE02}" name="Tasks"/>
    <tableColumn id="3" xr3:uid="{2F4B2921-94E8-45A1-B6D5-567CCD96D3AB}" name="Effort spent _x000a_(In Hrs)" dataDxfId="1"/>
    <tableColumn id="4" xr3:uid="{BE96F038-3E2C-4741-B71E-AE46C1D2673F}" name="Total number of Hrs spent " dataDxfId="0"/>
    <tableColumn id="5" xr3:uid="{D0510D27-A1CB-4B45-BBA2-97518624F916}" name="Comment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E85" dT="2026-07-10T13:22:18.71" personId="{BB452BB6-7938-473F-A02A-136EAA139D86}" id="{DD8375D3-9816-4362-B472-0F3AE840F951}">
    <text>https://beazley.atlassian.net/browse/GPS-27008
SIT1 - RETEST - Business Policy # GZ0CHW2601BB - Follower
SIT1 - RETEST - Business Policy # GZ0CHX2601BB - Lead
SIT1 - RETEST - Business Policy # GZ0CI32601BB
TEST - RETEST - Business Policy # GZ01AO2601BB - Follower/Leader
TEST - RETEST - Business Policy # GZ01AV2601BB</text>
    <extLst>
      <x:ext xmlns:xltc2="http://schemas.microsoft.com/office/spreadsheetml/2020/threadedcomments2" uri="{F7C98A9C-CBB3-438F-8F68-D28B6AF4A901}">
        <xltc2:checksum>1930035120</xltc2:checksum>
        <xltc2:hyperlink startIndex="0" length="46" url="https://beazley.atlassian.net/browse/GPS-27008"/>
      </x:ext>
    </extLst>
  </threadedComment>
  <threadedComment ref="E86" dT="2026-07-10T13:20:30.21" personId="{BB452BB6-7938-473F-A02A-136EAA139D86}" id="{E57DDEAB-88D7-47F9-A5D0-6D606F14C496}">
    <text>https://beazley.atlassian.net/browse/GPS-27381
TEST
Business Policy #
GZ01A82601BB
Account#
8832652277</text>
    <extLst>
      <x:ext xmlns:xltc2="http://schemas.microsoft.com/office/spreadsheetml/2020/threadedcomments2" uri="{F7C98A9C-CBB3-438F-8F68-D28B6AF4A901}">
        <xltc2:checksum>1229492051</xltc2:checksum>
        <xltc2:hyperlink startIndex="0" length="46" url="https://beazley.atlassian.net/browse/GPS-27381"/>
      </x:ext>
    </extLst>
  </threadedComment>
  <threadedComment ref="E97" dT="2026-07-10T13:16:58.78" personId="{BB452BB6-7938-473F-A02A-136EAA139D86}" id="{6EF75385-08C5-4F71-B5D4-13C889027316}">
    <text>Hi Rupesh - The test data has been created as per your request. Please let me know if you need anything else.
1 coinsurance - flat - Not paid - Business Policy # GZ0CQU2601BB
1 Non coinsurance - flat - Not paid - Business Policy # YZ0CMF2601BB
1 Future effect date - non coinsurance - Business Policy # GZ0CQW2601BB
1 contra/replace - non coinsurance - Business Policy # GZ0CQV2601BB
1 contra/replace - coinsurance - Business Policy # YZ0CM62601DF</text>
  </threadedComment>
  <threadedComment ref="E103" dT="2026-07-14T08:35:04.75" personId="{BB452BB6-7938-473F-A02A-136EAA139D86}" id="{9A31987E-5BE6-455F-B7C2-79FFDAD1E134}">
    <text>YZ0CM62601DF
YZ0CMC2601DF
YZ0CMG2601DF
YZ0CMI2601PM
YZ0CM72601BB
YZ0CM92601BB
YZ0CMA2601BB
GZ0CMH2601BR</text>
  </threadedComment>
</ThreadedComments>
</file>

<file path=xl/worksheets/_rels/sheet7.xml.rels><?xml version="1.0" encoding="UTF-8" standalone="yes"?>
<Relationships xmlns="http://schemas.openxmlformats.org/package/2006/relationships"><Relationship Id="rId2" Type="http://schemas.openxmlformats.org/officeDocument/2006/relationships/hyperlink" Target="https://beazley.atlassian.net/browse/GPS-27523" TargetMode="External"/><Relationship Id="rId1" Type="http://schemas.openxmlformats.org/officeDocument/2006/relationships/hyperlink" Target="https://beazley.atlassian.net/browse/GPS-27523" TargetMode="External"/></Relationships>
</file>

<file path=xl/worksheets/_rels/sheet13.xml.rels><?xml version="1.0" encoding="UTF-8" standalone="yes"?>
<Relationships xmlns="http://schemas.openxmlformats.org/package/2006/relationships"><Relationship Id="rId26" Type="http://schemas.openxmlformats.org/officeDocument/2006/relationships/hyperlink" Target="https://teams.microsoft.com/l/chat/19:meeting_NDA5YzBlMmEtMjc0Ny00ZjJmLTg3NzMtZTk4NjYzMTg4ZjVl@thread.v2/conversations?context=%7B%22contextType%22%3A%22chat%22%7D" TargetMode="External"/><Relationship Id="rId21" Type="http://schemas.openxmlformats.org/officeDocument/2006/relationships/hyperlink" Target="https://teams.microsoft.com/l/chat/19:meeting_ZDA4YThiYjktZGZjMS00N2NlLWIyZmEtZmJkZWQwNzQ1YzBm@thread.v2/conversations?context=%7B%22contextType%22%3A%22chat%22%7D" TargetMode="External"/><Relationship Id="rId42" Type="http://schemas.openxmlformats.org/officeDocument/2006/relationships/hyperlink" Target="https://teams.microsoft.com/l/chat/19:meeting_ZDA4YThiYjktZGZjMS00N2NlLWIyZmEtZmJkZWQwNzQ1YzBm@thread.v2/conversations?context=%7B%22contextType%22%3A%22chat%22%7D" TargetMode="External"/><Relationship Id="rId47" Type="http://schemas.openxmlformats.org/officeDocument/2006/relationships/hyperlink" Target="https://teams.microsoft.com/l/chat/19:meeting_ODJkMmY3ZDctNGM2Yy00YmE5LTgxODItNmIzMjE2MDJhOTU0@thread.v2/conversations?context=%7B%22contextType%22%3A%22chat%22%7D" TargetMode="External"/><Relationship Id="rId63" Type="http://schemas.openxmlformats.org/officeDocument/2006/relationships/hyperlink" Target="https://teams.microsoft.com/l/chat/19:meeting_ODJkMmY3ZDctNGM2Yy00YmE5LTgxODItNmIzMjE2MDJhOTU0@thread.v2/conversations?context=%7B%22contextType%22%3A%22chat%22%7D" TargetMode="External"/><Relationship Id="rId68" Type="http://schemas.openxmlformats.org/officeDocument/2006/relationships/hyperlink" Target="https://teams.microsoft.com/l/chat/19:meeting_ODJkMmY3ZDctNGM2Yy00YmE5LTgxODItNmIzMjE2MDJhOTU0@thread.v2/conversations?context=%7B%22contextType%22%3A%22chat%22%7D" TargetMode="External"/><Relationship Id="rId84" Type="http://schemas.openxmlformats.org/officeDocument/2006/relationships/hyperlink" Target="https://teams.microsoft.com/l/chat/19:meeting_NDA5YzBlMmEtMjc0Ny00ZjJmLTg3NzMtZTk4NjYzMTg4ZjVl@thread.v2/conversations?context=%7B%22contextType%22%3A%22chat%22%7D" TargetMode="External"/><Relationship Id="rId89" Type="http://schemas.openxmlformats.org/officeDocument/2006/relationships/hyperlink" Target="https://teams.microsoft.com/l/chat/19:meeting_NTUxNjkyNjUtNWJkNS00MDc0LWE5OWYtOWIzZGQzZjY2YmU5@thread.v2/conversations?context=%7B%22contextType%22%3A%22chat%22%7D" TargetMode="External"/><Relationship Id="rId16" Type="http://schemas.openxmlformats.org/officeDocument/2006/relationships/hyperlink" Target="https://teams.microsoft.com/l/chat/19:meeting_ODJkMmY3ZDctNGM2Yy00YmE5LTgxODItNmIzMjE2MDJhOTU0@thread.v2/conversations?context=%7B%22contextType%22%3A%22chat%22%7D" TargetMode="External"/><Relationship Id="rId11" Type="http://schemas.openxmlformats.org/officeDocument/2006/relationships/hyperlink" Target="https://teams.microsoft.com/l/chat/19:meeting_ZmU3OWI5NTUtYzY2My00MDc1LWEzNzMtZjFhZTY1ZDgyYTQ4@thread.v2/conversations?context=%7B%22contextType%22%3A%22chat%22%7D" TargetMode="External"/><Relationship Id="rId32" Type="http://schemas.openxmlformats.org/officeDocument/2006/relationships/hyperlink" Target="https://teams.microsoft.com/l/chat/19:f4f095dd157b4154a54e5140a5c9e5ff@thread.v2/conversations?context=%7B%22contextType%22%3A%22chat%22%7D" TargetMode="External"/><Relationship Id="rId37" Type="http://schemas.openxmlformats.org/officeDocument/2006/relationships/hyperlink" Target="https://teams.microsoft.com/l/chat/19:meeting_ZDA4YThiYjktZGZjMS00N2NlLWIyZmEtZmJkZWQwNzQ1YzBm@thread.v2/conversations?context=%7B%22contextType%22%3A%22chat%22%7D" TargetMode="External"/><Relationship Id="rId53" Type="http://schemas.openxmlformats.org/officeDocument/2006/relationships/hyperlink" Target="https://teams.microsoft.com/l/chat/19:meeting_ZDA4YThiYjktZGZjMS00N2NlLWIyZmEtZmJkZWQwNzQ1YzBm@thread.v2/conversations?context=%7B%22contextType%22%3A%22chat%22%7D" TargetMode="External"/><Relationship Id="rId58" Type="http://schemas.openxmlformats.org/officeDocument/2006/relationships/hyperlink" Target="https://teams.microsoft.com/l/chat/19:meeting_NDA5YzBlMmEtMjc0Ny00ZjJmLTg3NzMtZTk4NjYzMTg4ZjVl@thread.v2/conversations?context=%7B%22contextType%22%3A%22chat%22%7D" TargetMode="External"/><Relationship Id="rId74" Type="http://schemas.openxmlformats.org/officeDocument/2006/relationships/hyperlink" Target="https://teams.microsoft.com/l/chat/19:meeting_NDA5YzBlMmEtMjc0Ny00ZjJmLTg3NzMtZTk4NjYzMTg4ZjVl@thread.v2/conversations?context=%7B%22contextType%22%3A%22chat%22%7D" TargetMode="External"/><Relationship Id="rId79" Type="http://schemas.openxmlformats.org/officeDocument/2006/relationships/hyperlink" Target="https://teams.microsoft.com/l/chat/19:meeting_Nzc2YTk2MDktZjc0Ny00Mzk0LTgzODAtZTVlMmI4YTc2OTgy@thread.v2/conversations?context=%7B%22contextType%22%3A%22chat%22%7D" TargetMode="External"/><Relationship Id="rId102" Type="http://schemas.openxmlformats.org/officeDocument/2006/relationships/vmlDrawing" Target="../drawings/vmlDrawing1.vml"/><Relationship Id="rId5" Type="http://schemas.openxmlformats.org/officeDocument/2006/relationships/hyperlink" Target="https://teams.microsoft.com/l/chat/19:meeting_ZjNhOGI5NjctODg3YS00NGM1LTg3OTgtOWIwZTc1YjNkYjQw@thread.v2/conversations?context=%7B%22contextType%22%3A%22chat%22%7D" TargetMode="External"/><Relationship Id="rId90" Type="http://schemas.openxmlformats.org/officeDocument/2006/relationships/hyperlink" Target="https://teams.microsoft.com/l/chat/19:meeting_ZDA4YThiYjktZGZjMS00N2NlLWIyZmEtZmJkZWQwNzQ1YzBm@thread.v2/conversations?context=%7B%22contextType%22%3A%22chat%22%7D" TargetMode="External"/><Relationship Id="rId95" Type="http://schemas.openxmlformats.org/officeDocument/2006/relationships/hyperlink" Target="https://teams.microsoft.com/l/chat/19:meeting_ZDA4YThiYjktZGZjMS00N2NlLWIyZmEtZmJkZWQwNzQ1YzBm@thread.v2/conversations?context=%7B%22contextType%22%3A%22chat%22%7D" TargetMode="External"/><Relationship Id="rId22" Type="http://schemas.openxmlformats.org/officeDocument/2006/relationships/hyperlink" Target="https://teams.microsoft.com/l/chat/19:meeting_NDA5YzBlMmEtMjc0Ny00ZjJmLTg3NzMtZTk4NjYzMTg4ZjVl@thread.v2/conversations?context=%7B%22contextType%22%3A%22chat%22%7D" TargetMode="External"/><Relationship Id="rId27" Type="http://schemas.openxmlformats.org/officeDocument/2006/relationships/hyperlink" Target="https://teams.microsoft.com/l/chat/19:meeting_ODJkMmY3ZDctNGM2Yy00YmE5LTgxODItNmIzMjE2MDJhOTU0@thread.v2/conversations?context=%7B%22contextType%22%3A%22chat%22%7D" TargetMode="External"/><Relationship Id="rId43" Type="http://schemas.openxmlformats.org/officeDocument/2006/relationships/hyperlink" Target="https://teams.microsoft.com/l/chat/19:meeting_ODJkMmY3ZDctNGM2Yy00YmE5LTgxODItNmIzMjE2MDJhOTU0@thread.v2/conversations?context=%7B%22contextType%22%3A%22chat%22%7D" TargetMode="External"/><Relationship Id="rId48" Type="http://schemas.openxmlformats.org/officeDocument/2006/relationships/hyperlink" Target="https://teams.microsoft.com/l/chat/19:meeting_NDA5YzBlMmEtMjc0Ny00ZjJmLTg3NzMtZTk4NjYzMTg4ZjVl@thread.v2/conversations?context=%7B%22contextType%22%3A%22chat%22%7D" TargetMode="External"/><Relationship Id="rId64" Type="http://schemas.openxmlformats.org/officeDocument/2006/relationships/hyperlink" Target="https://teams.microsoft.com/l/chat/19:meeting_NDA5YzBlMmEtMjc0Ny00ZjJmLTg3NzMtZTk4NjYzMTg4ZjVl@thread.v2/conversations?context=%7B%22contextType%22%3A%22chat%22%7D" TargetMode="External"/><Relationship Id="rId69" Type="http://schemas.openxmlformats.org/officeDocument/2006/relationships/hyperlink" Target="https://teams.microsoft.com/l/chat/19:meeting_NDA5YzBlMmEtMjc0Ny00ZjJmLTg3NzMtZTk4NjYzMTg4ZjVl@thread.v2/conversations?context=%7B%22contextType%22%3A%22chat%22%7D" TargetMode="External"/><Relationship Id="rId80" Type="http://schemas.openxmlformats.org/officeDocument/2006/relationships/hyperlink" Target="https://teams.microsoft.com/l/chat/19:meeting_NDA5YzBlMmEtMjc0Ny00ZjJmLTg3NzMtZTk4NjYzMTg4ZjVl@thread.v2/conversations?context=%7B%22contextType%22%3A%22chat%22%7D" TargetMode="External"/><Relationship Id="rId85" Type="http://schemas.openxmlformats.org/officeDocument/2006/relationships/hyperlink" Target="https://teams.microsoft.com/l/chat/19:meeting_ZDA4YThiYjktZGZjMS00N2NlLWIyZmEtZmJkZWQwNzQ1YzBm@thread.v2/conversations?context=%7B%22contextType%22%3A%22chat%22%7D" TargetMode="External"/><Relationship Id="rId12" Type="http://schemas.openxmlformats.org/officeDocument/2006/relationships/hyperlink" Target="https://teams.microsoft.com/l/chat/19:meeting_NWYxOWNiMTctNjI3Ni00MjQ3LTkxZGItMmUxMDg0MmE2OTUx@thread.v2/conversations?context=%7B%22contextType%22%3A%22chat%22%7D" TargetMode="External"/><Relationship Id="rId17" Type="http://schemas.openxmlformats.org/officeDocument/2006/relationships/hyperlink" Target="https://teams.microsoft.com/l/chat/19:meeting_ZDA4YThiYjktZGZjMS00N2NlLWIyZmEtZmJkZWQwNzQ1YzBm@thread.v2/conversations?context=%7B%22contextType%22%3A%22chat%22%7D" TargetMode="External"/><Relationship Id="rId25" Type="http://schemas.openxmlformats.org/officeDocument/2006/relationships/hyperlink" Target="https://teams.microsoft.com/l/chat/19:meeting_ZDA4YThiYjktZGZjMS00N2NlLWIyZmEtZmJkZWQwNzQ1YzBm@thread.v2/conversations?context=%7B%22contextType%22%3A%22chat%22%7D" TargetMode="External"/><Relationship Id="rId33" Type="http://schemas.openxmlformats.org/officeDocument/2006/relationships/hyperlink" Target="https://teams.microsoft.com/l/chat/19:meeting_ZDA4YThiYjktZGZjMS00N2NlLWIyZmEtZmJkZWQwNzQ1YzBm@thread.v2/conversations?context=%7B%22contextType%22%3A%22chat%22%7D" TargetMode="External"/><Relationship Id="rId38" Type="http://schemas.openxmlformats.org/officeDocument/2006/relationships/hyperlink" Target="https://teams.microsoft.com/l/chat/19:meeting_ZDA4YThiYjktZGZjMS00N2NlLWIyZmEtZmJkZWQwNzQ1YzBm@thread.v2/conversations?context=%7B%22contextType%22%3A%22chat%22%7D" TargetMode="External"/><Relationship Id="rId46" Type="http://schemas.openxmlformats.org/officeDocument/2006/relationships/hyperlink" Target="https://teams.microsoft.com/l/chat/19:meeting_ZDA4YThiYjktZGZjMS00N2NlLWIyZmEtZmJkZWQwNzQ1YzBm@thread.v2/conversations?context=%7B%22contextType%22%3A%22chat%22%7D" TargetMode="External"/><Relationship Id="rId59" Type="http://schemas.openxmlformats.org/officeDocument/2006/relationships/hyperlink" Target="https://teams.microsoft.com/l/chat/19:meeting_ZGE2M2JhNDEtNDdhZS00OTI2LWI2M2UtMTY3YTZhMWEzMjJm@thread.v2/conversations?context=%7B%22contextType%22%3A%22chat%22%7D" TargetMode="External"/><Relationship Id="rId67" Type="http://schemas.openxmlformats.org/officeDocument/2006/relationships/hyperlink" Target="https://teams.microsoft.com/l/chat/19:meeting_ZDA4YThiYjktZGZjMS00N2NlLWIyZmEtZmJkZWQwNzQ1YzBm@thread.v2/conversations?context=%7B%22contextType%22%3A%22chat%22%7D" TargetMode="External"/><Relationship Id="rId103" Type="http://schemas.openxmlformats.org/officeDocument/2006/relationships/comments" Target="../comments1.xml"/><Relationship Id="rId20" Type="http://schemas.openxmlformats.org/officeDocument/2006/relationships/hyperlink" Target="https://teams.microsoft.com/l/chat/19:meeting_ZDA4YThiYjktZGZjMS00N2NlLWIyZmEtZmJkZWQwNzQ1YzBm@thread.v2/conversations?context=%7B%22contextType%22%3A%22chat%22%7D" TargetMode="External"/><Relationship Id="rId41" Type="http://schemas.openxmlformats.org/officeDocument/2006/relationships/hyperlink" Target="https://teams.microsoft.com/l/chat/19:meeting_ZDA4YThiYjktZGZjMS00N2NlLWIyZmEtZmJkZWQwNzQ1YzBm@thread.v2/conversations?context=%7B%22contextType%22%3A%22chat%22%7D" TargetMode="External"/><Relationship Id="rId54" Type="http://schemas.openxmlformats.org/officeDocument/2006/relationships/hyperlink" Target="https://teams.microsoft.com/l/chat/19:meeting_ZDA4YThiYjktZGZjMS00N2NlLWIyZmEtZmJkZWQwNzQ1YzBm@thread.v2/conversations?context=%7B%22contextType%22%3A%22chat%22%7D" TargetMode="External"/><Relationship Id="rId62" Type="http://schemas.openxmlformats.org/officeDocument/2006/relationships/hyperlink" Target="https://teams.microsoft.com/l/chat/19:meeting_ZDA4YThiYjktZGZjMS00N2NlLWIyZmEtZmJkZWQwNzQ1YzBm@thread.v2/conversations?context=%7B%22contextType%22%3A%22chat%22%7D" TargetMode="External"/><Relationship Id="rId70" Type="http://schemas.openxmlformats.org/officeDocument/2006/relationships/hyperlink" Target="https://teams.microsoft.com/l/chat/19:meeting_ZDA4YThiYjktZGZjMS00N2NlLWIyZmEtZmJkZWQwNzQ1YzBm@thread.v2/conversations?context=%7B%22contextType%22%3A%22chat%22%7D" TargetMode="External"/><Relationship Id="rId75" Type="http://schemas.openxmlformats.org/officeDocument/2006/relationships/hyperlink" Target="https://teams.microsoft.com/l/chat/19:meeting_ZDA4YThiYjktZGZjMS00N2NlLWIyZmEtZmJkZWQwNzQ1YzBm@thread.v2/conversations?context=%7B%22contextType%22%3A%22chat%22%7D" TargetMode="External"/><Relationship Id="rId83" Type="http://schemas.openxmlformats.org/officeDocument/2006/relationships/hyperlink" Target="https://teams.microsoft.com/l/chat/19:meeting_ODJkMmY3ZDctNGM2Yy00YmE5LTgxODItNmIzMjE2MDJhOTU0@thread.v2/conversations?context=%7B%22contextType%22%3A%22chat%22%7D" TargetMode="External"/><Relationship Id="rId88" Type="http://schemas.openxmlformats.org/officeDocument/2006/relationships/hyperlink" Target="https://teams.microsoft.com/l/chat/19:meeting_NDA5YzBlMmEtMjc0Ny00ZjJmLTg3NzMtZTk4NjYzMTg4ZjVl@thread.v2/conversations?context=%7B%22contextType%22%3A%22chat%22%7D" TargetMode="External"/><Relationship Id="rId91" Type="http://schemas.openxmlformats.org/officeDocument/2006/relationships/hyperlink" Target="https://teams.microsoft.com/l/chat/19:meeting_ZDA4YThiYjktZGZjMS00N2NlLWIyZmEtZmJkZWQwNzQ1YzBm@thread.v2/conversations?context=%7B%22contextType%22%3A%22chat%22%7D" TargetMode="External"/><Relationship Id="rId96" Type="http://schemas.openxmlformats.org/officeDocument/2006/relationships/hyperlink" Target="https://teams.microsoft.com/l/chat/19:meeting_ZDA4YThiYjktZGZjMS00N2NlLWIyZmEtZmJkZWQwNzQ1YzBm@thread.v2/conversations?context=%7B%22contextType%22%3A%22chat%22%7D" TargetMode="External"/><Relationship Id="rId1" Type="http://schemas.openxmlformats.org/officeDocument/2006/relationships/hyperlink" Target="https://teams.microsoft.com/l/chat/19:meeting_Yjk3OWJhMTktZGIwYi00YTczLWIwYzUtNzVlNTBkZGJhZTA4@thread.v2/conversations?context=%7B%22contextType%22%3A%22chat%22%7D" TargetMode="External"/><Relationship Id="rId6" Type="http://schemas.openxmlformats.org/officeDocument/2006/relationships/hyperlink" Target="https://teams.microsoft.com/l/chat/19:meeting_ZDA4YThiYjktZGZjMS00N2NlLWIyZmEtZmJkZWQwNzQ1YzBm@thread.v2/conversations?context=%7B%22contextType%22%3A%22chat%22%7D" TargetMode="External"/><Relationship Id="rId15" Type="http://schemas.openxmlformats.org/officeDocument/2006/relationships/hyperlink" Target="https://teams.microsoft.com/l/chat/19:meeting_ZDA4YThiYjktZGZjMS00N2NlLWIyZmEtZmJkZWQwNzQ1YzBm@thread.v2/conversations?context=%7B%22contextType%22%3A%22chat%22%7D" TargetMode="External"/><Relationship Id="rId23" Type="http://schemas.openxmlformats.org/officeDocument/2006/relationships/hyperlink" Target="https://teams.microsoft.com/l/chat/19:meeting_ODJkMmY3ZDctNGM2Yy00YmE5LTgxODItNmIzMjE2MDJhOTU0@thread.v2/conversations?context=%7B%22contextType%22%3A%22chat%22%7D" TargetMode="External"/><Relationship Id="rId28" Type="http://schemas.openxmlformats.org/officeDocument/2006/relationships/hyperlink" Target="https://teams.microsoft.com/l/chat/19:meeting_NTc3MGFjYmUtNmQwOS00Y2I1LWI4NjctN2I2YTVhMWQxYmMz@thread.v2/conversations?context=%7B%22contextType%22%3A%22chat%22%7D" TargetMode="External"/><Relationship Id="rId36" Type="http://schemas.openxmlformats.org/officeDocument/2006/relationships/hyperlink" Target="https://teams.microsoft.com/l/chat/19:meeting_NDA5YzBlMmEtMjc0Ny00ZjJmLTg3NzMtZTk4NjYzMTg4ZjVl@thread.v2/conversations?context=%7B%22contextType%22%3A%22chat%22%7D" TargetMode="External"/><Relationship Id="rId49" Type="http://schemas.openxmlformats.org/officeDocument/2006/relationships/hyperlink" Target="https://teams.microsoft.com/l/chat/19:meeting_ZDA4YThiYjktZGZjMS00N2NlLWIyZmEtZmJkZWQwNzQ1YzBm@thread.v2/conversations?context=%7B%22contextType%22%3A%22chat%22%7D" TargetMode="External"/><Relationship Id="rId57" Type="http://schemas.openxmlformats.org/officeDocument/2006/relationships/hyperlink" Target="https://teams.microsoft.com/l/chat/19:meeting_NDA5YzBlMmEtMjc0Ny00ZjJmLTg3NzMtZTk4NjYzMTg4ZjVl@thread.v2/conversations?context=%7B%22contextType%22%3A%22chat%22%7D" TargetMode="External"/><Relationship Id="rId10" Type="http://schemas.openxmlformats.org/officeDocument/2006/relationships/hyperlink" Target="https://teams.microsoft.com/l/chat/19:meeting_ZDA4YThiYjktZGZjMS00N2NlLWIyZmEtZmJkZWQwNzQ1YzBm@thread.v2/conversations?context=%7B%22contextType%22%3A%22chat%22%7D" TargetMode="External"/><Relationship Id="rId31" Type="http://schemas.openxmlformats.org/officeDocument/2006/relationships/hyperlink" Target="https://teams.microsoft.com/l/chat/19:meeting_YWM3MTNiOTEtODU3My00ZmVhLWI3ZGQtNDE2ZjU3MDAzMDUy@thread.v2/conversations?context=%7B%22contextType%22%3A%22chat%22%7D" TargetMode="External"/><Relationship Id="rId44" Type="http://schemas.openxmlformats.org/officeDocument/2006/relationships/hyperlink" Target="https://teams.microsoft.com/l/chat/19:meeting_NDA5YzBlMmEtMjc0Ny00ZjJmLTg3NzMtZTk4NjYzMTg4ZjVl@thread.v2/conversations?context=%7B%22contextType%22%3A%22chat%22%7D" TargetMode="External"/><Relationship Id="rId52" Type="http://schemas.openxmlformats.org/officeDocument/2006/relationships/hyperlink" Target="https://teams.microsoft.com/meet/37119383721480?p=rXyLnr8duqRlEqeGmN" TargetMode="External"/><Relationship Id="rId60" Type="http://schemas.openxmlformats.org/officeDocument/2006/relationships/hyperlink" Target="https://teams.microsoft.com/l/chat/19:meeting_NDI1NWE5NzQtOTlmNS00YWNjLWI1N2QtMWM4M2UwNWJkZjBi@thread.v2/conversations?context=%7B%22contextType%22%3A%22chat%22%7D" TargetMode="External"/><Relationship Id="rId65" Type="http://schemas.openxmlformats.org/officeDocument/2006/relationships/hyperlink" Target="https://teams.microsoft.com/l/chat/19:meeting_ZDA4YThiYjktZGZjMS00N2NlLWIyZmEtZmJkZWQwNzQ1YzBm@thread.v2/conversations?context=%7B%22contextType%22%3A%22chat%22%7D" TargetMode="External"/><Relationship Id="rId73" Type="http://schemas.openxmlformats.org/officeDocument/2006/relationships/hyperlink" Target="https://teams.microsoft.com/l/chat/19:meeting_MGI1ZGU0ODAtZWFiYS00NDE5LWIxN2EtNDBmOTZmMjE1MDU5@thread.v2/conversations?context=%7B%22contextType%22%3A%22chat%22%7D" TargetMode="External"/><Relationship Id="rId78" Type="http://schemas.openxmlformats.org/officeDocument/2006/relationships/hyperlink" Target="https://teams.microsoft.com/l/chat/19:meeting_MGI1ZGU0ODAtZWFiYS00NDE5LWIxN2EtNDBmOTZmMjE1MDU5@thread.v2/conversations?context=%7B%22contextType%22%3A%22chat%22%7D" TargetMode="External"/><Relationship Id="rId81" Type="http://schemas.openxmlformats.org/officeDocument/2006/relationships/hyperlink" Target="https://teams.microsoft.com/l/chat/19:meeting_ZDA4YThiYjktZGZjMS00N2NlLWIyZmEtZmJkZWQwNzQ1YzBm@thread.v2/conversations?context=%7B%22contextType%22%3A%22chat%22%7D" TargetMode="External"/><Relationship Id="rId86" Type="http://schemas.openxmlformats.org/officeDocument/2006/relationships/hyperlink" Target="https://teams.microsoft.com/l/chat/19:meeting_ZDA4YThiYjktZGZjMS00N2NlLWIyZmEtZmJkZWQwNzQ1YzBm@thread.v2/conversations?context=%7B%22contextType%22%3A%22chat%22%7D" TargetMode="External"/><Relationship Id="rId94" Type="http://schemas.openxmlformats.org/officeDocument/2006/relationships/hyperlink" Target="https://teams.microsoft.com/meet/35989253092199?p=hUNyzpS60KEr7tQxAX" TargetMode="External"/><Relationship Id="rId99" Type="http://schemas.openxmlformats.org/officeDocument/2006/relationships/hyperlink" Target="https://teams.microsoft.com/l/chat/19:meeting_NTYwZDdmOTEtZDMxMS00NmJmLTkzYmYtMzY0MGU0MTM5NDFm@thread.v2/conversations?context=%7B%22contextType%22%3A%22chat%22%7D" TargetMode="External"/><Relationship Id="rId101" Type="http://schemas.openxmlformats.org/officeDocument/2006/relationships/hyperlink" Target="https://teams.microsoft.com/l/meetup-join/19%3ameeting_NGE4MjdiZTMtYmE0Zi00YTcyLThmN2MtZGQyOTM5YzBlMDE3%40thread.v2/0?context=%7b%22Tid%22%3a%229a50eba8-7568-447a-bcb9-27a0d464aa80%22%2c%22Oid%22%3a%22e69ce86b-7470-4820-aa86-3abbdc08ad79%22%7d" TargetMode="External"/><Relationship Id="rId4" Type="http://schemas.openxmlformats.org/officeDocument/2006/relationships/hyperlink" Target="https://teams.microsoft.com/l/chat/19:meeting_ZDA4YThiYjktZGZjMS00N2NlLWIyZmEtZmJkZWQwNzQ1YzBm@thread.v2/conversations?context=%7B%22contextType%22%3A%22chat%22%7D" TargetMode="External"/><Relationship Id="rId9" Type="http://schemas.openxmlformats.org/officeDocument/2006/relationships/hyperlink" Target="https://teams.microsoft.com/l/chat/19:meeting_ZDA4YThiYjktZGZjMS00N2NlLWIyZmEtZmJkZWQwNzQ1YzBm@thread.v2/conversations?context=%7B%22contextType%22%3A%22chat%22%7D" TargetMode="External"/><Relationship Id="rId13" Type="http://schemas.openxmlformats.org/officeDocument/2006/relationships/hyperlink" Target="https://teams.microsoft.com/l/chat/19:meeting_ODJkMmY3ZDctNGM2Yy00YmE5LTgxODItNmIzMjE2MDJhOTU0@thread.v2/conversations?context=%7B%22contextType%22%3A%22chat%22%7D" TargetMode="External"/><Relationship Id="rId18" Type="http://schemas.openxmlformats.org/officeDocument/2006/relationships/hyperlink" Target="https://teams.microsoft.com/l/chat/19:meeting_ZDA4YThiYjktZGZjMS00N2NlLWIyZmEtZmJkZWQwNzQ1YzBm@thread.v2/conversations?context=%7B%22contextType%22%3A%22chat%22%7D" TargetMode="External"/><Relationship Id="rId39" Type="http://schemas.openxmlformats.org/officeDocument/2006/relationships/hyperlink" Target="https://teams.microsoft.com/l/chat/19:meeting_ODJkMmY3ZDctNGM2Yy00YmE5LTgxODItNmIzMjE2MDJhOTU0@thread.v2/conversations?context=%7B%22contextType%22%3A%22chat%22%7D" TargetMode="External"/><Relationship Id="rId34" Type="http://schemas.openxmlformats.org/officeDocument/2006/relationships/hyperlink" Target="https://teams.microsoft.com/l/chat/19:meeting_ZDA4YThiYjktZGZjMS00N2NlLWIyZmEtZmJkZWQwNzQ1YzBm@thread.v2/conversations?context=%7B%22contextType%22%3A%22chat%22%7D" TargetMode="External"/><Relationship Id="rId50" Type="http://schemas.openxmlformats.org/officeDocument/2006/relationships/hyperlink" Target="https://teams.microsoft.com/l/chat/19:meeting_ZDA4YThiYjktZGZjMS00N2NlLWIyZmEtZmJkZWQwNzQ1YzBm@thread.v2/conversations?context=%7B%22contextType%22%3A%22chat%22%7D" TargetMode="External"/><Relationship Id="rId55" Type="http://schemas.openxmlformats.org/officeDocument/2006/relationships/hyperlink" Target="https://teams.microsoft.com/l/chat/19:meeting_ODJkMmY3ZDctNGM2Yy00YmE5LTgxODItNmIzMjE2MDJhOTU0@thread.v2/conversations?context=%7B%22contextType%22%3A%22chat%22%7D" TargetMode="External"/><Relationship Id="rId76" Type="http://schemas.openxmlformats.org/officeDocument/2006/relationships/hyperlink" Target="https://teams.microsoft.com/l/chat/19:meeting_ZDA4YThiYjktZGZjMS00N2NlLWIyZmEtZmJkZWQwNzQ1YzBm@thread.v2/conversations?context=%7B%22contextType%22%3A%22chat%22%7D" TargetMode="External"/><Relationship Id="rId97" Type="http://schemas.openxmlformats.org/officeDocument/2006/relationships/hyperlink" Target="https://teams.microsoft.com/l/chat/19:meeting_ODJkMmY3ZDctNGM2Yy00YmE5LTgxODItNmIzMjE2MDJhOTU0@thread.v2/conversations?context=%7B%22contextType%22%3A%22chat%22%7D" TargetMode="External"/><Relationship Id="rId104" Type="http://schemas.microsoft.com/office/2017/10/relationships/threadedComment" Target="../threadedComments/threadedComment1.xml"/><Relationship Id="rId7" Type="http://schemas.openxmlformats.org/officeDocument/2006/relationships/hyperlink" Target="https://teams.microsoft.com/l/chat/19:meeting_ZDA4YThiYjktZGZjMS00N2NlLWIyZmEtZmJkZWQwNzQ1YzBm@thread.v2/conversations?context=%7B%22contextType%22%3A%22chat%22%7D" TargetMode="External"/><Relationship Id="rId71" Type="http://schemas.openxmlformats.org/officeDocument/2006/relationships/hyperlink" Target="https://teams.microsoft.com/l/chat/19:meeting_ZDA4YThiYjktZGZjMS00N2NlLWIyZmEtZmJkZWQwNzQ1YzBm@thread.v2/conversations?context=%7B%22contextType%22%3A%22chat%22%7D" TargetMode="External"/><Relationship Id="rId92" Type="http://schemas.openxmlformats.org/officeDocument/2006/relationships/hyperlink" Target="https://teams.microsoft.com/l/chat/19:meeting_NDA5YzBlMmEtMjc0Ny00ZjJmLTg3NzMtZTk4NjYzMTg4ZjVl@thread.v2/conversations?context=%7B%22contextType%22%3A%22chat%22%7D" TargetMode="External"/><Relationship Id="rId2" Type="http://schemas.openxmlformats.org/officeDocument/2006/relationships/hyperlink" Target="https://teams.microsoft.com/l/chat/19:meeting_ODJkMmY3ZDctNGM2Yy00YmE5LTgxODItNmIzMjE2MDJhOTU0@thread.v2/conversations?context=%7B%22contextType%22%3A%22chat%22%7D" TargetMode="External"/><Relationship Id="rId29" Type="http://schemas.openxmlformats.org/officeDocument/2006/relationships/hyperlink" Target="https://teams.microsoft.com/l/chat/19:meeting_MDA2ZjE2NTYtMTMzYy00NjUwLTlhMzYtZWUzZTU4OTkyY2Ux@thread.v2/conversations?context=%7B%22contextType%22%3A%22chat%22%7D" TargetMode="External"/><Relationship Id="rId24" Type="http://schemas.openxmlformats.org/officeDocument/2006/relationships/hyperlink" Target="https://teams.microsoft.com/l/chat/19:meeting_ZDA4YThiYjktZGZjMS00N2NlLWIyZmEtZmJkZWQwNzQ1YzBm@thread.v2/conversations?context=%7B%22contextType%22%3A%22chat%22%7D" TargetMode="External"/><Relationship Id="rId40" Type="http://schemas.openxmlformats.org/officeDocument/2006/relationships/hyperlink" Target="https://teams.microsoft.com/l/meetup-join/19%3ameeting_YzU5NDdjNDMtZGM5MC00NGY2LTg5MGYtMDAwZjkwZDg1ZDEx%40thread.v2/0?context=%7b%22Tid%22%3a%229a50eba8-7568-447a-bcb9-27a0d464aa80%22%2c%22Oid%22%3a%222fff54c1-ff0c-45f3-956c-7a9edba15289%22%7d" TargetMode="External"/><Relationship Id="rId45" Type="http://schemas.openxmlformats.org/officeDocument/2006/relationships/hyperlink" Target="https://teams.microsoft.com/l/chat/19:meeting_ZDA4YThiYjktZGZjMS00N2NlLWIyZmEtZmJkZWQwNzQ1YzBm@thread.v2/conversations?context=%7B%22contextType%22%3A%22chat%22%7D" TargetMode="External"/><Relationship Id="rId66" Type="http://schemas.openxmlformats.org/officeDocument/2006/relationships/hyperlink" Target="https://teams.microsoft.com/l/chat/19:meeting_MGM2ZDE1ZDYtNjkxNS00NjcwLTg2YjctM2U3MDVmMzVmMzUw@thread.v2/conversations?context=%7B%22contextType%22%3A%22chat%22%7D" TargetMode="External"/><Relationship Id="rId87" Type="http://schemas.openxmlformats.org/officeDocument/2006/relationships/hyperlink" Target="https://teams.microsoft.com/l/chat/19:meeting_ODJkMmY3ZDctNGM2Yy00YmE5LTgxODItNmIzMjE2MDJhOTU0@thread.v2/conversations?context=%7B%22contextType%22%3A%22chat%22%7D" TargetMode="External"/><Relationship Id="rId61" Type="http://schemas.openxmlformats.org/officeDocument/2006/relationships/hyperlink" Target="https://teams.microsoft.com/l/chat/19:meeting_ZDA4YThiYjktZGZjMS00N2NlLWIyZmEtZmJkZWQwNzQ1YzBm@thread.v2/conversations?context=%7B%22contextType%22%3A%22chat%22%7D" TargetMode="External"/><Relationship Id="rId82" Type="http://schemas.openxmlformats.org/officeDocument/2006/relationships/hyperlink" Target="https://teams.microsoft.com/l/chat/19:meeting_ZDA4YThiYjktZGZjMS00N2NlLWIyZmEtZmJkZWQwNzQ1YzBm@thread.v2/conversations?context=%7B%22contextType%22%3A%22chat%22%7D" TargetMode="External"/><Relationship Id="rId19" Type="http://schemas.openxmlformats.org/officeDocument/2006/relationships/hyperlink" Target="https://teams.microsoft.com/l/chat/19:meeting_ODJkMmY3ZDctNGM2Yy00YmE5LTgxODItNmIzMjE2MDJhOTU0@thread.v2/conversations?context=%7B%22contextType%22%3A%22chat%22%7D" TargetMode="External"/><Relationship Id="rId14" Type="http://schemas.openxmlformats.org/officeDocument/2006/relationships/hyperlink" Target="https://teams.microsoft.com/l/chat/19:meeting_ZDA4YThiYjktZGZjMS00N2NlLWIyZmEtZmJkZWQwNzQ1YzBm@thread.v2/conversations?context=%7B%22contextType%22%3A%22chat%22%7D" TargetMode="External"/><Relationship Id="rId30" Type="http://schemas.openxmlformats.org/officeDocument/2006/relationships/hyperlink" Target="https://teams.microsoft.com/l/chat/19:meeting_ZjY1MzY2MzctMmMwNS00MzU2LTgxZmUtZTcwM2VlM2M3YjVm@thread.v2/conversations?context=%7B%22contextType%22%3A%22chat%22%7D" TargetMode="External"/><Relationship Id="rId35" Type="http://schemas.openxmlformats.org/officeDocument/2006/relationships/hyperlink" Target="https://teams.microsoft.com/l/chat/19:meeting_ODJkMmY3ZDctNGM2Yy00YmE5LTgxODItNmIzMjE2MDJhOTU0@thread.v2/conversations?context=%7B%22contextType%22%3A%22chat%22%7D" TargetMode="External"/><Relationship Id="rId56" Type="http://schemas.openxmlformats.org/officeDocument/2006/relationships/hyperlink" Target="https://teams.microsoft.com/meet/35623961176866?p=wl3LiZzDdgDbXOMiQH" TargetMode="External"/><Relationship Id="rId77" Type="http://schemas.openxmlformats.org/officeDocument/2006/relationships/hyperlink" Target="https://teams.microsoft.com/l/chat/19:meeting_ODJkMmY3ZDctNGM2Yy00YmE5LTgxODItNmIzMjE2MDJhOTU0@thread.v2/conversations?context=%7B%22contextType%22%3A%22chat%22%7D" TargetMode="External"/><Relationship Id="rId100" Type="http://schemas.openxmlformats.org/officeDocument/2006/relationships/hyperlink" Target="https://teams.microsoft.com/l/chat/19:90d442af525c4cc7b61adff70909a077@thread.v2/conversations?context=%7B%22contextType%22%3A%22chat%22%7D" TargetMode="External"/><Relationship Id="rId8" Type="http://schemas.openxmlformats.org/officeDocument/2006/relationships/hyperlink" Target="https://teams.microsoft.com/l/chat/19:meeting_ODJkMmY3ZDctNGM2Yy00YmE5LTgxODItNmIzMjE2MDJhOTU0@thread.v2/conversations?context=%7B%22contextType%22%3A%22chat%22%7D" TargetMode="External"/><Relationship Id="rId51" Type="http://schemas.openxmlformats.org/officeDocument/2006/relationships/hyperlink" Target="https://teams.microsoft.com/l/chat/19:meeting_ODJkMmY3ZDctNGM2Yy00YmE5LTgxODItNmIzMjE2MDJhOTU0@thread.v2/conversations?context=%7B%22contextType%22%3A%22chat%22%7D" TargetMode="External"/><Relationship Id="rId72" Type="http://schemas.openxmlformats.org/officeDocument/2006/relationships/hyperlink" Target="https://teams.microsoft.com/l/chat/19:meeting_ODJkMmY3ZDctNGM2Yy00YmE5LTgxODItNmIzMjE2MDJhOTU0@thread.v2/conversations?context=%7B%22contextType%22%3A%22chat%22%7D" TargetMode="External"/><Relationship Id="rId93" Type="http://schemas.openxmlformats.org/officeDocument/2006/relationships/hyperlink" Target="https://teams.microsoft.com/l/chat/19:meeting_ODJkMmY3ZDctNGM2Yy00YmE5LTgxODItNmIzMjE2MDJhOTU0@thread.v2/conversations?context=%7B%22contextType%22%3A%22chat%22%7D" TargetMode="External"/><Relationship Id="rId98" Type="http://schemas.openxmlformats.org/officeDocument/2006/relationships/hyperlink" Target="https://teams.microsoft.com/l/chat/19:meeting_NDA5YzBlMmEtMjc0Ny00ZjJmLTg3NzMtZTk4NjYzMTg4ZjVl@thread.v2/conversations?context=%7B%22contextType%22%3A%22chat%22%7D" TargetMode="External"/><Relationship Id="rId3" Type="http://schemas.openxmlformats.org/officeDocument/2006/relationships/hyperlink" Target="https://teams.microsoft.com/l/chat/19:meeting_ZDA4YThiYjktZGZjMS00N2NlLWIyZmEtZmJkZWQwNzQ1YzBm@thread.v2/conversations?context=%7B%22contextType%22%3A%22chat%22%7D"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beazley.atlassian.net/browse/GPS-27539" TargetMode="External"/></Relationships>
</file>

<file path=xl/worksheets/_rels/sheet20.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2AAA5-E17C-4C00-855F-5274CC13412A}">
  <dimension ref="A1:E22"/>
  <sheetViews>
    <sheetView workbookViewId="0">
      <selection activeCell="A8" sqref="A8"/>
    </sheetView>
  </sheetViews>
  <sheetFormatPr defaultRowHeight="14.5" x14ac:dyDescent="0.35"/>
  <cols>
    <col min="1" max="1" width="44.7265625" customWidth="1"/>
    <col min="2" max="2" width="41.7265625" customWidth="1"/>
    <col min="3" max="3" width="11.81640625" customWidth="1"/>
    <col min="4" max="4" width="16.26953125" customWidth="1"/>
    <col min="5" max="5" width="45" customWidth="1"/>
  </cols>
  <sheetData>
    <row r="1" spans="1:5" ht="29" x14ac:dyDescent="0.35">
      <c r="A1" s="1" t="s">
        <v>0</v>
      </c>
      <c r="B1" s="1" t="s">
        <v>1</v>
      </c>
      <c r="C1" s="2" t="s">
        <v>2</v>
      </c>
      <c r="D1" s="2" t="s">
        <v>3</v>
      </c>
      <c r="E1" s="1" t="s">
        <v>4</v>
      </c>
    </row>
    <row r="2" spans="1:5" x14ac:dyDescent="0.35">
      <c r="A2" s="10" t="s">
        <v>5</v>
      </c>
      <c r="B2" s="10"/>
      <c r="C2" s="11"/>
      <c r="D2" s="11"/>
      <c r="E2" s="10"/>
    </row>
    <row r="3" spans="1:5" x14ac:dyDescent="0.35">
      <c r="A3" s="5">
        <v>46204</v>
      </c>
      <c r="B3" s="6" t="s">
        <v>6</v>
      </c>
      <c r="C3" s="7">
        <v>2</v>
      </c>
      <c r="D3" s="298">
        <v>9</v>
      </c>
      <c r="E3" s="6"/>
    </row>
    <row r="4" spans="1:5" x14ac:dyDescent="0.35">
      <c r="A4" s="5">
        <v>46204</v>
      </c>
      <c r="B4" s="6" t="s">
        <v>7</v>
      </c>
      <c r="C4" s="7">
        <v>6</v>
      </c>
      <c r="D4" s="299"/>
      <c r="E4" s="6"/>
    </row>
    <row r="5" spans="1:5" x14ac:dyDescent="0.35">
      <c r="A5" s="5">
        <v>46204</v>
      </c>
      <c r="B5" s="6" t="s">
        <v>8</v>
      </c>
      <c r="C5" s="7">
        <v>1</v>
      </c>
      <c r="D5" s="300"/>
      <c r="E5" s="6"/>
    </row>
    <row r="6" spans="1:5" x14ac:dyDescent="0.35">
      <c r="A6" s="12"/>
      <c r="B6" s="12"/>
      <c r="C6" s="13"/>
      <c r="D6" s="13"/>
      <c r="E6" s="12"/>
    </row>
    <row r="7" spans="1:5" x14ac:dyDescent="0.35">
      <c r="A7" s="9" t="s">
        <v>9</v>
      </c>
      <c r="B7" s="3"/>
      <c r="C7" s="4"/>
      <c r="D7" s="4"/>
      <c r="E7" s="3"/>
    </row>
    <row r="8" spans="1:5" x14ac:dyDescent="0.35">
      <c r="A8" s="3"/>
      <c r="B8" s="3"/>
      <c r="C8" s="4"/>
      <c r="D8" s="4"/>
      <c r="E8" s="3"/>
    </row>
    <row r="9" spans="1:5" x14ac:dyDescent="0.35">
      <c r="A9" s="3"/>
      <c r="B9" s="3"/>
      <c r="C9" s="4"/>
      <c r="D9" s="4"/>
      <c r="E9" s="3"/>
    </row>
    <row r="10" spans="1:5" x14ac:dyDescent="0.35">
      <c r="A10" s="3"/>
      <c r="B10" s="3"/>
      <c r="C10" s="4"/>
      <c r="D10" s="4"/>
      <c r="E10" s="3"/>
    </row>
    <row r="11" spans="1:5" x14ac:dyDescent="0.35">
      <c r="A11" s="3"/>
      <c r="B11" s="3"/>
      <c r="C11" s="4"/>
      <c r="D11" s="4"/>
      <c r="E11" s="3"/>
    </row>
    <row r="12" spans="1:5" x14ac:dyDescent="0.35">
      <c r="A12" s="3"/>
      <c r="B12" s="3"/>
      <c r="C12" s="4"/>
      <c r="D12" s="4"/>
      <c r="E12" s="3"/>
    </row>
    <row r="13" spans="1:5" x14ac:dyDescent="0.35">
      <c r="A13" s="3"/>
      <c r="B13" s="3"/>
      <c r="C13" s="4"/>
      <c r="D13" s="4"/>
      <c r="E13" s="3"/>
    </row>
    <row r="14" spans="1:5" x14ac:dyDescent="0.35">
      <c r="A14" s="3"/>
      <c r="B14" s="3"/>
      <c r="C14" s="4"/>
      <c r="D14" s="4"/>
      <c r="E14" s="3"/>
    </row>
    <row r="15" spans="1:5" x14ac:dyDescent="0.35">
      <c r="A15" s="3"/>
      <c r="B15" s="3"/>
      <c r="C15" s="4"/>
      <c r="D15" s="4"/>
      <c r="E15" s="3"/>
    </row>
    <row r="16" spans="1:5" x14ac:dyDescent="0.35">
      <c r="A16" s="3"/>
      <c r="B16" s="3"/>
      <c r="C16" s="4"/>
      <c r="D16" s="4"/>
      <c r="E16" s="3"/>
    </row>
    <row r="17" spans="1:5" x14ac:dyDescent="0.35">
      <c r="A17" s="3"/>
      <c r="B17" s="3"/>
      <c r="C17" s="4"/>
      <c r="D17" s="4"/>
      <c r="E17" s="3"/>
    </row>
    <row r="18" spans="1:5" x14ac:dyDescent="0.35">
      <c r="A18" s="3"/>
      <c r="B18" s="3"/>
      <c r="C18" s="4"/>
      <c r="D18" s="4"/>
      <c r="E18" s="3"/>
    </row>
    <row r="19" spans="1:5" x14ac:dyDescent="0.35">
      <c r="A19" s="3"/>
      <c r="B19" s="3"/>
      <c r="C19" s="4"/>
      <c r="D19" s="4"/>
      <c r="E19" s="3"/>
    </row>
    <row r="20" spans="1:5" x14ac:dyDescent="0.35">
      <c r="A20" s="3"/>
      <c r="B20" s="3"/>
      <c r="C20" s="4"/>
      <c r="D20" s="4"/>
      <c r="E20" s="3"/>
    </row>
    <row r="21" spans="1:5" x14ac:dyDescent="0.35">
      <c r="A21" s="3"/>
      <c r="B21" s="3"/>
      <c r="C21" s="4"/>
      <c r="D21" s="4"/>
      <c r="E21" s="3"/>
    </row>
    <row r="22" spans="1:5" x14ac:dyDescent="0.35">
      <c r="A22" s="3"/>
      <c r="B22" s="3"/>
      <c r="C22" s="3"/>
      <c r="D22" s="3"/>
      <c r="E22" s="3"/>
    </row>
  </sheetData>
  <mergeCells count="1">
    <mergeCell ref="D3:D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56BE9-6437-4144-A8DB-AFD61718D4C4}">
  <dimension ref="A1:E40"/>
  <sheetViews>
    <sheetView topLeftCell="A9" workbookViewId="0">
      <selection activeCell="A21" sqref="A21"/>
    </sheetView>
  </sheetViews>
  <sheetFormatPr defaultRowHeight="14.5" x14ac:dyDescent="0.35"/>
  <cols>
    <col min="1" max="1" width="11.54296875" customWidth="1"/>
    <col min="2" max="2" width="60.1796875" bestFit="1" customWidth="1"/>
    <col min="3" max="3" width="11.81640625" hidden="1" customWidth="1"/>
    <col min="4" max="4" width="16.26953125" customWidth="1"/>
    <col min="5" max="5" width="45" customWidth="1"/>
  </cols>
  <sheetData>
    <row r="1" spans="1:5" ht="29" x14ac:dyDescent="0.35">
      <c r="A1" s="1" t="s">
        <v>0</v>
      </c>
      <c r="B1" s="1" t="s">
        <v>1</v>
      </c>
      <c r="C1" s="2" t="s">
        <v>2</v>
      </c>
      <c r="D1" s="2" t="s">
        <v>3</v>
      </c>
      <c r="E1" s="1" t="s">
        <v>4</v>
      </c>
    </row>
    <row r="2" spans="1:5" x14ac:dyDescent="0.35">
      <c r="A2" s="5">
        <v>46224</v>
      </c>
      <c r="B2" s="6" t="s">
        <v>10</v>
      </c>
      <c r="C2" s="255"/>
      <c r="D2" s="301">
        <v>9</v>
      </c>
      <c r="E2" s="9"/>
    </row>
    <row r="3" spans="1:5" x14ac:dyDescent="0.35">
      <c r="A3" s="5">
        <v>46224</v>
      </c>
      <c r="B3" s="6" t="s">
        <v>11</v>
      </c>
      <c r="C3" s="255"/>
      <c r="D3" s="302"/>
      <c r="E3" s="9"/>
    </row>
    <row r="4" spans="1:5" x14ac:dyDescent="0.35">
      <c r="A4" s="5">
        <v>46224</v>
      </c>
      <c r="B4" s="6" t="s">
        <v>12</v>
      </c>
      <c r="C4" s="255"/>
      <c r="D4" s="302"/>
      <c r="E4" s="9"/>
    </row>
    <row r="5" spans="1:5" x14ac:dyDescent="0.35">
      <c r="A5" s="5">
        <v>46224</v>
      </c>
      <c r="B5" s="6" t="s">
        <v>13</v>
      </c>
      <c r="C5" s="255"/>
      <c r="D5" s="302"/>
      <c r="E5" s="9"/>
    </row>
    <row r="6" spans="1:5" x14ac:dyDescent="0.35">
      <c r="A6" s="5">
        <v>46224</v>
      </c>
      <c r="B6" s="6" t="s">
        <v>14</v>
      </c>
      <c r="C6" s="255"/>
      <c r="D6" s="303"/>
      <c r="E6" s="9"/>
    </row>
    <row r="7" spans="1:5" x14ac:dyDescent="0.35">
      <c r="A7" s="5">
        <v>46225</v>
      </c>
      <c r="B7" s="6" t="s">
        <v>10</v>
      </c>
      <c r="C7" s="255"/>
      <c r="D7" s="301">
        <v>9</v>
      </c>
      <c r="E7" s="9"/>
    </row>
    <row r="8" spans="1:5" x14ac:dyDescent="0.35">
      <c r="A8" s="5">
        <v>46225</v>
      </c>
      <c r="B8" s="6" t="s">
        <v>11</v>
      </c>
      <c r="C8" s="255"/>
      <c r="D8" s="302"/>
      <c r="E8" s="9"/>
    </row>
    <row r="9" spans="1:5" x14ac:dyDescent="0.35">
      <c r="A9" s="5">
        <v>46225</v>
      </c>
      <c r="B9" s="6" t="s">
        <v>15</v>
      </c>
      <c r="C9" s="255"/>
      <c r="D9" s="302"/>
      <c r="E9" s="9"/>
    </row>
    <row r="10" spans="1:5" x14ac:dyDescent="0.35">
      <c r="A10" s="5">
        <v>46225</v>
      </c>
      <c r="B10" s="6" t="s">
        <v>16</v>
      </c>
      <c r="C10" s="255"/>
      <c r="D10" s="302"/>
      <c r="E10" s="9"/>
    </row>
    <row r="11" spans="1:5" x14ac:dyDescent="0.35">
      <c r="A11" s="5">
        <v>46225</v>
      </c>
      <c r="B11" s="6" t="s">
        <v>14</v>
      </c>
      <c r="C11" s="255"/>
      <c r="D11" s="303"/>
      <c r="E11" s="9"/>
    </row>
    <row r="12" spans="1:5" x14ac:dyDescent="0.35">
      <c r="A12" s="5">
        <v>46226</v>
      </c>
      <c r="B12" s="6" t="s">
        <v>10</v>
      </c>
      <c r="C12" s="7">
        <v>0.5</v>
      </c>
      <c r="D12" s="304">
        <v>9</v>
      </c>
      <c r="E12" s="6"/>
    </row>
    <row r="13" spans="1:5" ht="17.25" customHeight="1" x14ac:dyDescent="0.35">
      <c r="A13" s="5">
        <v>46226</v>
      </c>
      <c r="B13" s="6" t="s">
        <v>17</v>
      </c>
      <c r="C13" s="7">
        <v>0.5</v>
      </c>
      <c r="D13" s="305"/>
      <c r="E13" s="6"/>
    </row>
    <row r="14" spans="1:5" ht="17.25" customHeight="1" x14ac:dyDescent="0.35">
      <c r="A14" s="5">
        <v>46226</v>
      </c>
      <c r="B14" s="6" t="s">
        <v>18</v>
      </c>
      <c r="C14" s="7">
        <v>1.5</v>
      </c>
      <c r="D14" s="305"/>
      <c r="E14" s="6"/>
    </row>
    <row r="15" spans="1:5" ht="17.25" customHeight="1" x14ac:dyDescent="0.35">
      <c r="A15" s="5">
        <v>46226</v>
      </c>
      <c r="B15" s="6" t="s">
        <v>11</v>
      </c>
      <c r="C15" s="7">
        <v>0.5</v>
      </c>
      <c r="D15" s="305"/>
      <c r="E15" s="6"/>
    </row>
    <row r="16" spans="1:5" x14ac:dyDescent="0.35">
      <c r="A16" s="5">
        <v>46226</v>
      </c>
      <c r="B16" s="6" t="s">
        <v>19</v>
      </c>
      <c r="C16" s="7">
        <v>1</v>
      </c>
      <c r="D16" s="305"/>
      <c r="E16" s="6"/>
    </row>
    <row r="17" spans="1:5" x14ac:dyDescent="0.35">
      <c r="A17" s="5">
        <v>46226</v>
      </c>
      <c r="B17" s="6" t="s">
        <v>20</v>
      </c>
      <c r="C17" s="7">
        <v>0.15</v>
      </c>
      <c r="D17" s="305"/>
      <c r="E17" s="6"/>
    </row>
    <row r="18" spans="1:5" x14ac:dyDescent="0.35">
      <c r="A18" s="5">
        <v>46226</v>
      </c>
      <c r="B18" s="6" t="s">
        <v>21</v>
      </c>
      <c r="C18" s="7">
        <v>0.5</v>
      </c>
      <c r="D18" s="306"/>
      <c r="E18" s="6"/>
    </row>
    <row r="19" spans="1:5" x14ac:dyDescent="0.35">
      <c r="A19" s="5">
        <v>46227</v>
      </c>
      <c r="B19" s="6" t="s">
        <v>10</v>
      </c>
      <c r="C19" s="7">
        <v>0.5</v>
      </c>
      <c r="D19" s="298">
        <v>9</v>
      </c>
      <c r="E19" s="6"/>
    </row>
    <row r="20" spans="1:5" ht="73.5" customHeight="1" x14ac:dyDescent="0.35">
      <c r="A20" s="276">
        <v>46227</v>
      </c>
      <c r="B20" s="21" t="s">
        <v>22</v>
      </c>
      <c r="C20" s="7">
        <v>0.5</v>
      </c>
      <c r="D20" s="299"/>
      <c r="E20" s="6"/>
    </row>
    <row r="21" spans="1:5" ht="17.25" customHeight="1" x14ac:dyDescent="0.35">
      <c r="A21" s="5">
        <v>46227</v>
      </c>
      <c r="B21" s="6" t="s">
        <v>1576</v>
      </c>
      <c r="C21" s="7">
        <v>1.5</v>
      </c>
      <c r="D21" s="299"/>
      <c r="E21" s="6"/>
    </row>
    <row r="22" spans="1:5" ht="17.25" customHeight="1" x14ac:dyDescent="0.35">
      <c r="A22" s="5">
        <v>46227</v>
      </c>
      <c r="B22" s="6" t="s">
        <v>1577</v>
      </c>
      <c r="C22" s="7">
        <v>0.5</v>
      </c>
      <c r="D22" s="299"/>
      <c r="E22" s="6"/>
    </row>
    <row r="23" spans="1:5" x14ac:dyDescent="0.35">
      <c r="A23" s="5">
        <v>46227</v>
      </c>
      <c r="B23" s="6" t="s">
        <v>1578</v>
      </c>
      <c r="C23" s="7">
        <v>1</v>
      </c>
      <c r="D23" s="300"/>
      <c r="E23" s="6"/>
    </row>
    <row r="24" spans="1:5" x14ac:dyDescent="0.35">
      <c r="A24" s="5">
        <v>46230</v>
      </c>
      <c r="B24" s="6" t="s">
        <v>10</v>
      </c>
      <c r="C24" s="7">
        <v>0.5</v>
      </c>
      <c r="D24" s="298">
        <v>9</v>
      </c>
      <c r="E24" s="6"/>
    </row>
    <row r="25" spans="1:5" x14ac:dyDescent="0.35">
      <c r="A25" s="5">
        <v>46230</v>
      </c>
      <c r="B25" s="6" t="s">
        <v>1579</v>
      </c>
      <c r="C25" s="7"/>
      <c r="D25" s="299"/>
      <c r="E25" s="6"/>
    </row>
    <row r="26" spans="1:5" ht="17.25" customHeight="1" x14ac:dyDescent="0.35">
      <c r="A26" s="5">
        <v>46230</v>
      </c>
      <c r="B26" s="6" t="s">
        <v>1580</v>
      </c>
      <c r="C26" s="7">
        <v>0.5</v>
      </c>
      <c r="D26" s="299"/>
      <c r="E26" s="6"/>
    </row>
    <row r="27" spans="1:5" ht="17.25" customHeight="1" x14ac:dyDescent="0.35">
      <c r="A27" s="5">
        <v>46230</v>
      </c>
      <c r="B27" s="6" t="s">
        <v>1581</v>
      </c>
      <c r="C27" s="7">
        <v>1.5</v>
      </c>
      <c r="D27" s="299"/>
      <c r="E27" s="6"/>
    </row>
    <row r="28" spans="1:5" ht="17.25" customHeight="1" x14ac:dyDescent="0.35">
      <c r="A28" s="5">
        <v>46230</v>
      </c>
      <c r="B28" s="6" t="s">
        <v>11</v>
      </c>
      <c r="C28" s="7">
        <v>0.5</v>
      </c>
      <c r="D28" s="299"/>
      <c r="E28" s="6"/>
    </row>
    <row r="29" spans="1:5" x14ac:dyDescent="0.35">
      <c r="A29" s="5">
        <v>46230</v>
      </c>
      <c r="B29" s="6" t="s">
        <v>1582</v>
      </c>
      <c r="C29" s="7"/>
      <c r="D29" s="299"/>
      <c r="E29" s="6"/>
    </row>
    <row r="30" spans="1:5" x14ac:dyDescent="0.35">
      <c r="A30" s="5">
        <v>46230</v>
      </c>
      <c r="B30" s="6" t="s">
        <v>1583</v>
      </c>
      <c r="C30" s="7"/>
      <c r="D30" s="300"/>
      <c r="E30" s="6"/>
    </row>
    <row r="31" spans="1:5" x14ac:dyDescent="0.35">
      <c r="A31" s="5">
        <v>46231</v>
      </c>
      <c r="B31" s="6" t="s">
        <v>10</v>
      </c>
      <c r="C31" s="7">
        <v>0.5</v>
      </c>
      <c r="D31" s="298">
        <v>9</v>
      </c>
      <c r="E31" s="6"/>
    </row>
    <row r="32" spans="1:5" x14ac:dyDescent="0.35">
      <c r="A32" s="5">
        <v>46231</v>
      </c>
      <c r="B32" s="6" t="s">
        <v>1579</v>
      </c>
      <c r="C32" s="7"/>
      <c r="D32" s="299"/>
      <c r="E32" s="6"/>
    </row>
    <row r="33" spans="1:5" x14ac:dyDescent="0.35">
      <c r="A33" s="5">
        <v>46231</v>
      </c>
      <c r="B33" s="6" t="s">
        <v>1651</v>
      </c>
      <c r="C33" s="4"/>
      <c r="D33" s="299"/>
      <c r="E33" s="6"/>
    </row>
    <row r="34" spans="1:5" ht="17.25" customHeight="1" x14ac:dyDescent="0.35">
      <c r="A34" s="5">
        <v>46231</v>
      </c>
      <c r="B34" s="6" t="s">
        <v>11</v>
      </c>
      <c r="C34" s="7">
        <v>0.5</v>
      </c>
      <c r="D34" s="299"/>
      <c r="E34" s="6"/>
    </row>
    <row r="35" spans="1:5" x14ac:dyDescent="0.35">
      <c r="A35" s="5">
        <v>46231</v>
      </c>
      <c r="B35" s="6" t="s">
        <v>21</v>
      </c>
      <c r="C35" s="4"/>
      <c r="D35" s="300"/>
      <c r="E35" s="6"/>
    </row>
    <row r="36" spans="1:5" x14ac:dyDescent="0.35">
      <c r="A36" s="3"/>
      <c r="B36" s="3"/>
      <c r="C36" s="4"/>
      <c r="D36" s="4"/>
      <c r="E36" s="3"/>
    </row>
    <row r="37" spans="1:5" x14ac:dyDescent="0.35">
      <c r="A37" s="3"/>
      <c r="B37" s="3"/>
      <c r="C37" s="4"/>
      <c r="D37" s="4"/>
      <c r="E37" s="3"/>
    </row>
    <row r="38" spans="1:5" x14ac:dyDescent="0.35">
      <c r="A38" s="3"/>
      <c r="B38" s="3"/>
      <c r="C38" s="4"/>
      <c r="D38" s="4"/>
      <c r="E38" s="3"/>
    </row>
    <row r="39" spans="1:5" x14ac:dyDescent="0.35">
      <c r="A39" s="3"/>
      <c r="B39" s="3"/>
      <c r="C39" s="4"/>
      <c r="D39" s="4"/>
      <c r="E39" s="3"/>
    </row>
    <row r="40" spans="1:5" x14ac:dyDescent="0.35">
      <c r="A40" s="3"/>
      <c r="B40" s="3"/>
      <c r="C40" s="3"/>
      <c r="D40" s="3"/>
      <c r="E40" s="3"/>
    </row>
  </sheetData>
  <mergeCells count="6">
    <mergeCell ref="D31:D35"/>
    <mergeCell ref="D7:D11"/>
    <mergeCell ref="D12:D18"/>
    <mergeCell ref="D2:D6"/>
    <mergeCell ref="D19:D23"/>
    <mergeCell ref="D24:D3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67A53-DEA7-460A-A944-5938F063D7A1}">
  <dimension ref="A1:E22"/>
  <sheetViews>
    <sheetView workbookViewId="0"/>
  </sheetViews>
  <sheetFormatPr defaultRowHeight="14.5" x14ac:dyDescent="0.35"/>
  <cols>
    <col min="1" max="1" width="11.54296875" customWidth="1"/>
    <col min="2" max="2" width="41.7265625" customWidth="1"/>
    <col min="3" max="3" width="11.81640625" customWidth="1"/>
    <col min="4" max="4" width="16.26953125" customWidth="1"/>
    <col min="5" max="5" width="45" customWidth="1"/>
  </cols>
  <sheetData>
    <row r="1" spans="1:5" ht="29" x14ac:dyDescent="0.35">
      <c r="A1" s="1" t="s">
        <v>0</v>
      </c>
      <c r="B1" s="1" t="s">
        <v>1</v>
      </c>
      <c r="C1" s="2" t="s">
        <v>2</v>
      </c>
      <c r="D1" s="2" t="s">
        <v>3</v>
      </c>
      <c r="E1" s="1" t="s">
        <v>4</v>
      </c>
    </row>
    <row r="2" spans="1:5" x14ac:dyDescent="0.35">
      <c r="A2" s="10" t="s">
        <v>5</v>
      </c>
      <c r="B2" s="10"/>
      <c r="C2" s="11"/>
      <c r="D2" s="11"/>
      <c r="E2" s="10"/>
    </row>
    <row r="3" spans="1:5" x14ac:dyDescent="0.35">
      <c r="A3" s="5">
        <v>46204</v>
      </c>
      <c r="B3" s="6" t="s">
        <v>6</v>
      </c>
      <c r="C3" s="7">
        <v>2</v>
      </c>
      <c r="D3" s="298">
        <v>9</v>
      </c>
      <c r="E3" s="6"/>
    </row>
    <row r="4" spans="1:5" x14ac:dyDescent="0.35">
      <c r="A4" s="5">
        <v>46204</v>
      </c>
      <c r="B4" s="6" t="s">
        <v>7</v>
      </c>
      <c r="C4" s="7">
        <v>6</v>
      </c>
      <c r="D4" s="299"/>
      <c r="E4" s="6"/>
    </row>
    <row r="5" spans="1:5" x14ac:dyDescent="0.35">
      <c r="A5" s="5">
        <v>46204</v>
      </c>
      <c r="B5" s="6" t="s">
        <v>8</v>
      </c>
      <c r="C5" s="7">
        <v>1</v>
      </c>
      <c r="D5" s="300"/>
      <c r="E5" s="6"/>
    </row>
    <row r="6" spans="1:5" x14ac:dyDescent="0.35">
      <c r="A6" s="12"/>
      <c r="B6" s="12"/>
      <c r="C6" s="13"/>
      <c r="D6" s="13"/>
      <c r="E6" s="12"/>
    </row>
    <row r="7" spans="1:5" x14ac:dyDescent="0.35">
      <c r="A7" s="9" t="s">
        <v>9</v>
      </c>
      <c r="B7" s="3"/>
      <c r="C7" s="4"/>
      <c r="D7" s="4"/>
      <c r="E7" s="3"/>
    </row>
    <row r="8" spans="1:5" x14ac:dyDescent="0.35">
      <c r="A8" s="3"/>
      <c r="B8" s="3"/>
      <c r="C8" s="4"/>
      <c r="D8" s="4"/>
      <c r="E8" s="3"/>
    </row>
    <row r="9" spans="1:5" x14ac:dyDescent="0.35">
      <c r="A9" s="3"/>
      <c r="B9" s="3"/>
      <c r="C9" s="4"/>
      <c r="D9" s="4"/>
      <c r="E9" s="3"/>
    </row>
    <row r="10" spans="1:5" x14ac:dyDescent="0.35">
      <c r="A10" s="3"/>
      <c r="B10" s="3"/>
      <c r="C10" s="4"/>
      <c r="D10" s="4"/>
      <c r="E10" s="3"/>
    </row>
    <row r="11" spans="1:5" x14ac:dyDescent="0.35">
      <c r="A11" s="3"/>
      <c r="B11" s="3"/>
      <c r="C11" s="4"/>
      <c r="D11" s="4"/>
      <c r="E11" s="3"/>
    </row>
    <row r="12" spans="1:5" x14ac:dyDescent="0.35">
      <c r="A12" s="3"/>
      <c r="B12" s="3"/>
      <c r="C12" s="4"/>
      <c r="D12" s="4"/>
      <c r="E12" s="3"/>
    </row>
    <row r="13" spans="1:5" x14ac:dyDescent="0.35">
      <c r="A13" s="3"/>
      <c r="B13" s="3"/>
      <c r="C13" s="4"/>
      <c r="D13" s="4"/>
      <c r="E13" s="3"/>
    </row>
    <row r="14" spans="1:5" x14ac:dyDescent="0.35">
      <c r="A14" s="3"/>
      <c r="B14" s="3"/>
      <c r="C14" s="4"/>
      <c r="D14" s="4"/>
      <c r="E14" s="3"/>
    </row>
    <row r="15" spans="1:5" x14ac:dyDescent="0.35">
      <c r="A15" s="3"/>
      <c r="B15" s="3"/>
      <c r="C15" s="4"/>
      <c r="D15" s="4"/>
      <c r="E15" s="3"/>
    </row>
    <row r="16" spans="1:5" x14ac:dyDescent="0.35">
      <c r="A16" s="3"/>
      <c r="B16" s="3"/>
      <c r="C16" s="4"/>
      <c r="D16" s="4"/>
      <c r="E16" s="3"/>
    </row>
    <row r="17" spans="1:5" x14ac:dyDescent="0.35">
      <c r="A17" s="3"/>
      <c r="B17" s="3"/>
      <c r="C17" s="4"/>
      <c r="D17" s="4"/>
      <c r="E17" s="3"/>
    </row>
    <row r="18" spans="1:5" x14ac:dyDescent="0.35">
      <c r="A18" s="3"/>
      <c r="B18" s="3"/>
      <c r="C18" s="4"/>
      <c r="D18" s="4"/>
      <c r="E18" s="3"/>
    </row>
    <row r="19" spans="1:5" x14ac:dyDescent="0.35">
      <c r="A19" s="3"/>
      <c r="B19" s="3"/>
      <c r="C19" s="4"/>
      <c r="D19" s="4"/>
      <c r="E19" s="3"/>
    </row>
    <row r="20" spans="1:5" x14ac:dyDescent="0.35">
      <c r="A20" s="3"/>
      <c r="B20" s="3"/>
      <c r="C20" s="4"/>
      <c r="D20" s="4"/>
      <c r="E20" s="3"/>
    </row>
    <row r="21" spans="1:5" x14ac:dyDescent="0.35">
      <c r="A21" s="3"/>
      <c r="B21" s="3"/>
      <c r="C21" s="4"/>
      <c r="D21" s="4"/>
      <c r="E21" s="3"/>
    </row>
    <row r="22" spans="1:5" x14ac:dyDescent="0.35">
      <c r="A22" s="3"/>
      <c r="B22" s="3"/>
      <c r="C22" s="3"/>
      <c r="D22" s="3"/>
      <c r="E22" s="3"/>
    </row>
  </sheetData>
  <mergeCells count="1">
    <mergeCell ref="D3:D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BA102-8BCF-43FA-A745-08AFAC011C8D}">
  <dimension ref="A1:E22"/>
  <sheetViews>
    <sheetView workbookViewId="0">
      <selection activeCell="B9" sqref="B9"/>
    </sheetView>
  </sheetViews>
  <sheetFormatPr defaultRowHeight="14.5" x14ac:dyDescent="0.35"/>
  <cols>
    <col min="1" max="1" width="11.54296875" customWidth="1"/>
    <col min="2" max="2" width="41.7265625" customWidth="1"/>
    <col min="3" max="3" width="11.81640625" customWidth="1"/>
    <col min="4" max="4" width="16.26953125" customWidth="1"/>
    <col min="5" max="5" width="45" customWidth="1"/>
  </cols>
  <sheetData>
    <row r="1" spans="1:5" ht="29" x14ac:dyDescent="0.35">
      <c r="A1" s="1" t="s">
        <v>0</v>
      </c>
      <c r="B1" s="1" t="s">
        <v>1</v>
      </c>
      <c r="C1" s="2" t="s">
        <v>2</v>
      </c>
      <c r="D1" s="2" t="s">
        <v>3</v>
      </c>
      <c r="E1" s="1" t="s">
        <v>4</v>
      </c>
    </row>
    <row r="2" spans="1:5" x14ac:dyDescent="0.35">
      <c r="A2" s="10" t="s">
        <v>5</v>
      </c>
      <c r="B2" s="10"/>
      <c r="C2" s="11"/>
      <c r="D2" s="11"/>
      <c r="E2" s="10"/>
    </row>
    <row r="3" spans="1:5" x14ac:dyDescent="0.35">
      <c r="A3" s="5">
        <v>46204</v>
      </c>
      <c r="B3" s="6" t="s">
        <v>6</v>
      </c>
      <c r="C3" s="7">
        <v>2</v>
      </c>
      <c r="D3" s="298">
        <v>9</v>
      </c>
      <c r="E3" s="6"/>
    </row>
    <row r="4" spans="1:5" x14ac:dyDescent="0.35">
      <c r="A4" s="5">
        <v>46204</v>
      </c>
      <c r="B4" s="6" t="s">
        <v>7</v>
      </c>
      <c r="C4" s="7">
        <v>6</v>
      </c>
      <c r="D4" s="299"/>
      <c r="E4" s="6"/>
    </row>
    <row r="5" spans="1:5" x14ac:dyDescent="0.35">
      <c r="A5" s="5">
        <v>46204</v>
      </c>
      <c r="B5" s="6" t="s">
        <v>8</v>
      </c>
      <c r="C5" s="7">
        <v>1</v>
      </c>
      <c r="D5" s="300"/>
      <c r="E5" s="6"/>
    </row>
    <row r="6" spans="1:5" x14ac:dyDescent="0.35">
      <c r="A6" s="12"/>
      <c r="B6" s="12"/>
      <c r="C6" s="13"/>
      <c r="D6" s="13"/>
      <c r="E6" s="12"/>
    </row>
    <row r="7" spans="1:5" x14ac:dyDescent="0.35">
      <c r="A7" s="9" t="s">
        <v>9</v>
      </c>
      <c r="B7" s="3"/>
      <c r="C7" s="4"/>
      <c r="D7" s="4"/>
      <c r="E7" s="3"/>
    </row>
    <row r="8" spans="1:5" x14ac:dyDescent="0.35">
      <c r="A8" s="3"/>
      <c r="B8" s="3"/>
      <c r="C8" s="4"/>
      <c r="D8" s="4"/>
      <c r="E8" s="3"/>
    </row>
    <row r="9" spans="1:5" x14ac:dyDescent="0.35">
      <c r="A9" s="3"/>
      <c r="B9" s="3"/>
      <c r="C9" s="4"/>
      <c r="D9" s="4"/>
      <c r="E9" s="3"/>
    </row>
    <row r="10" spans="1:5" x14ac:dyDescent="0.35">
      <c r="A10" s="3"/>
      <c r="B10" s="3"/>
      <c r="C10" s="4"/>
      <c r="D10" s="4"/>
      <c r="E10" s="3"/>
    </row>
    <row r="11" spans="1:5" x14ac:dyDescent="0.35">
      <c r="A11" s="3"/>
      <c r="B11" s="3"/>
      <c r="C11" s="4"/>
      <c r="D11" s="4"/>
      <c r="E11" s="3"/>
    </row>
    <row r="12" spans="1:5" x14ac:dyDescent="0.35">
      <c r="A12" s="3"/>
      <c r="B12" s="3"/>
      <c r="C12" s="4"/>
      <c r="D12" s="4"/>
      <c r="E12" s="3"/>
    </row>
    <row r="13" spans="1:5" x14ac:dyDescent="0.35">
      <c r="A13" s="3"/>
      <c r="B13" s="3"/>
      <c r="C13" s="4"/>
      <c r="D13" s="4"/>
      <c r="E13" s="3"/>
    </row>
    <row r="14" spans="1:5" x14ac:dyDescent="0.35">
      <c r="A14" s="3"/>
      <c r="B14" s="3"/>
      <c r="C14" s="4"/>
      <c r="D14" s="4"/>
      <c r="E14" s="3"/>
    </row>
    <row r="15" spans="1:5" x14ac:dyDescent="0.35">
      <c r="A15" s="3"/>
      <c r="B15" s="3"/>
      <c r="C15" s="4"/>
      <c r="D15" s="4"/>
      <c r="E15" s="3"/>
    </row>
    <row r="16" spans="1:5" x14ac:dyDescent="0.35">
      <c r="A16" s="3"/>
      <c r="B16" s="3"/>
      <c r="C16" s="4"/>
      <c r="D16" s="4"/>
      <c r="E16" s="3"/>
    </row>
    <row r="17" spans="1:5" x14ac:dyDescent="0.35">
      <c r="A17" s="3"/>
      <c r="B17" s="3"/>
      <c r="C17" s="4"/>
      <c r="D17" s="4"/>
      <c r="E17" s="3"/>
    </row>
    <row r="18" spans="1:5" x14ac:dyDescent="0.35">
      <c r="A18" s="3"/>
      <c r="B18" s="3"/>
      <c r="C18" s="4"/>
      <c r="D18" s="4"/>
      <c r="E18" s="3"/>
    </row>
    <row r="19" spans="1:5" x14ac:dyDescent="0.35">
      <c r="A19" s="3"/>
      <c r="B19" s="3"/>
      <c r="C19" s="4"/>
      <c r="D19" s="4"/>
      <c r="E19" s="3"/>
    </row>
    <row r="20" spans="1:5" x14ac:dyDescent="0.35">
      <c r="A20" s="3"/>
      <c r="B20" s="3"/>
      <c r="C20" s="4"/>
      <c r="D20" s="4"/>
      <c r="E20" s="3"/>
    </row>
    <row r="21" spans="1:5" x14ac:dyDescent="0.35">
      <c r="A21" s="3"/>
      <c r="B21" s="3"/>
      <c r="C21" s="4"/>
      <c r="D21" s="4"/>
      <c r="E21" s="3"/>
    </row>
    <row r="22" spans="1:5" x14ac:dyDescent="0.35">
      <c r="A22" s="3"/>
      <c r="B22" s="3"/>
      <c r="C22" s="3"/>
      <c r="D22" s="3"/>
      <c r="E22" s="3"/>
    </row>
  </sheetData>
  <mergeCells count="1">
    <mergeCell ref="D3:D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E11B5F-8ED8-4071-BF67-9D66692149C1}">
  <dimension ref="A1:E94"/>
  <sheetViews>
    <sheetView topLeftCell="A37" workbookViewId="0">
      <selection activeCell="B31" sqref="B31"/>
    </sheetView>
  </sheetViews>
  <sheetFormatPr defaultRowHeight="14.5" x14ac:dyDescent="0.35"/>
  <cols>
    <col min="1" max="1" width="11.54296875" customWidth="1"/>
    <col min="2" max="2" width="41.7265625" customWidth="1"/>
    <col min="3" max="3" width="11.81640625" customWidth="1"/>
    <col min="4" max="4" width="16.26953125" customWidth="1"/>
    <col min="5" max="5" width="45" customWidth="1"/>
  </cols>
  <sheetData>
    <row r="1" spans="1:5" ht="29" x14ac:dyDescent="0.35">
      <c r="A1" s="1" t="s">
        <v>0</v>
      </c>
      <c r="B1" s="1" t="s">
        <v>1</v>
      </c>
      <c r="C1" s="2" t="s">
        <v>2</v>
      </c>
      <c r="D1" s="2" t="s">
        <v>3</v>
      </c>
      <c r="E1" s="1" t="s">
        <v>4</v>
      </c>
    </row>
    <row r="2" spans="1:5" x14ac:dyDescent="0.35">
      <c r="A2" s="10" t="s">
        <v>5</v>
      </c>
      <c r="B2" s="10"/>
      <c r="C2" s="11"/>
      <c r="D2" s="11"/>
      <c r="E2" s="10"/>
    </row>
    <row r="3" spans="1:5" x14ac:dyDescent="0.35">
      <c r="A3" s="5">
        <v>46204</v>
      </c>
      <c r="B3" s="6" t="s">
        <v>6</v>
      </c>
      <c r="C3" s="7">
        <v>2</v>
      </c>
      <c r="D3" s="298">
        <v>9</v>
      </c>
      <c r="E3" s="6"/>
    </row>
    <row r="4" spans="1:5" x14ac:dyDescent="0.35">
      <c r="A4" s="5">
        <v>46204</v>
      </c>
      <c r="B4" s="6" t="s">
        <v>7</v>
      </c>
      <c r="C4" s="7">
        <v>6</v>
      </c>
      <c r="D4" s="299"/>
      <c r="E4" s="6"/>
    </row>
    <row r="5" spans="1:5" x14ac:dyDescent="0.35">
      <c r="A5" s="5">
        <v>46204</v>
      </c>
      <c r="B5" s="6" t="s">
        <v>8</v>
      </c>
      <c r="C5" s="7">
        <v>1</v>
      </c>
      <c r="D5" s="300"/>
      <c r="E5" s="6"/>
    </row>
    <row r="6" spans="1:5" x14ac:dyDescent="0.35">
      <c r="A6" s="12"/>
      <c r="B6" s="12"/>
      <c r="C6" s="13"/>
      <c r="D6" s="13"/>
      <c r="E6" s="12"/>
    </row>
    <row r="7" spans="1:5" ht="15" thickBot="1" x14ac:dyDescent="0.4">
      <c r="A7" s="47" t="s">
        <v>9</v>
      </c>
      <c r="B7" s="48"/>
      <c r="C7" s="25"/>
      <c r="D7" s="25"/>
      <c r="E7" s="48"/>
    </row>
    <row r="8" spans="1:5" x14ac:dyDescent="0.35">
      <c r="A8" s="49">
        <v>46204</v>
      </c>
      <c r="B8" s="50" t="s">
        <v>23</v>
      </c>
      <c r="C8" s="51">
        <v>2</v>
      </c>
      <c r="D8" s="310">
        <v>9</v>
      </c>
      <c r="E8" s="52"/>
    </row>
    <row r="9" spans="1:5" x14ac:dyDescent="0.35">
      <c r="A9" s="53">
        <v>46204</v>
      </c>
      <c r="B9" s="15" t="s">
        <v>24</v>
      </c>
      <c r="C9" s="4">
        <v>1</v>
      </c>
      <c r="D9" s="302"/>
      <c r="E9" s="54"/>
    </row>
    <row r="10" spans="1:5" ht="43.5" x14ac:dyDescent="0.35">
      <c r="A10" s="53">
        <v>46204</v>
      </c>
      <c r="B10" s="15" t="s">
        <v>25</v>
      </c>
      <c r="C10" s="4">
        <v>1</v>
      </c>
      <c r="D10" s="302"/>
      <c r="E10" s="54"/>
    </row>
    <row r="11" spans="1:5" ht="29" x14ac:dyDescent="0.35">
      <c r="A11" s="53">
        <v>46204</v>
      </c>
      <c r="B11" s="15" t="s">
        <v>26</v>
      </c>
      <c r="C11" s="4">
        <v>1</v>
      </c>
      <c r="D11" s="302"/>
      <c r="E11" s="54"/>
    </row>
    <row r="12" spans="1:5" ht="43.5" x14ac:dyDescent="0.35">
      <c r="A12" s="53">
        <v>46204</v>
      </c>
      <c r="B12" s="15" t="s">
        <v>27</v>
      </c>
      <c r="C12" s="4">
        <v>1</v>
      </c>
      <c r="D12" s="302"/>
      <c r="E12" s="54"/>
    </row>
    <row r="13" spans="1:5" x14ac:dyDescent="0.35">
      <c r="A13" s="53">
        <v>46204</v>
      </c>
      <c r="B13" s="3" t="s">
        <v>28</v>
      </c>
      <c r="C13" s="4">
        <v>2</v>
      </c>
      <c r="D13" s="302"/>
      <c r="E13" s="54"/>
    </row>
    <row r="14" spans="1:5" ht="29.5" thickBot="1" x14ac:dyDescent="0.4">
      <c r="A14" s="55">
        <v>46204</v>
      </c>
      <c r="B14" s="56" t="s">
        <v>29</v>
      </c>
      <c r="C14" s="57">
        <v>1</v>
      </c>
      <c r="D14" s="311"/>
      <c r="E14" s="58"/>
    </row>
    <row r="15" spans="1:5" x14ac:dyDescent="0.35">
      <c r="A15" s="49">
        <v>46205</v>
      </c>
      <c r="B15" s="50" t="s">
        <v>23</v>
      </c>
      <c r="C15" s="51">
        <v>2</v>
      </c>
      <c r="D15" s="310">
        <v>9</v>
      </c>
      <c r="E15" s="52"/>
    </row>
    <row r="16" spans="1:5" ht="43.5" x14ac:dyDescent="0.35">
      <c r="A16" s="53">
        <v>46205</v>
      </c>
      <c r="B16" s="15" t="s">
        <v>30</v>
      </c>
      <c r="C16" s="4">
        <v>2</v>
      </c>
      <c r="D16" s="302"/>
      <c r="E16" s="54"/>
    </row>
    <row r="17" spans="1:5" ht="43.5" x14ac:dyDescent="0.35">
      <c r="A17" s="53">
        <v>46205</v>
      </c>
      <c r="B17" s="15" t="s">
        <v>31</v>
      </c>
      <c r="C17" s="4">
        <v>1</v>
      </c>
      <c r="D17" s="302"/>
      <c r="E17" s="54"/>
    </row>
    <row r="18" spans="1:5" ht="29" x14ac:dyDescent="0.35">
      <c r="A18" s="53">
        <v>46205</v>
      </c>
      <c r="B18" s="15" t="s">
        <v>32</v>
      </c>
      <c r="C18" s="4">
        <v>2</v>
      </c>
      <c r="D18" s="302"/>
      <c r="E18" s="54"/>
    </row>
    <row r="19" spans="1:5" ht="15" thickBot="1" x14ac:dyDescent="0.4">
      <c r="A19" s="122">
        <v>46205</v>
      </c>
      <c r="B19" s="48" t="s">
        <v>28</v>
      </c>
      <c r="C19" s="25">
        <v>2</v>
      </c>
      <c r="D19" s="302"/>
      <c r="E19" s="123"/>
    </row>
    <row r="20" spans="1:5" x14ac:dyDescent="0.35">
      <c r="A20" s="49">
        <v>46205</v>
      </c>
      <c r="B20" s="50" t="s">
        <v>23</v>
      </c>
      <c r="C20" s="51">
        <v>3</v>
      </c>
      <c r="D20" s="307">
        <v>9</v>
      </c>
      <c r="E20" s="52"/>
    </row>
    <row r="21" spans="1:5" ht="43.5" x14ac:dyDescent="0.35">
      <c r="A21" s="53">
        <v>46205</v>
      </c>
      <c r="B21" s="15" t="s">
        <v>30</v>
      </c>
      <c r="C21" s="4">
        <v>2</v>
      </c>
      <c r="D21" s="308"/>
      <c r="E21" s="54"/>
    </row>
    <row r="22" spans="1:5" ht="43.5" x14ac:dyDescent="0.35">
      <c r="A22" s="53">
        <v>46205</v>
      </c>
      <c r="B22" s="15" t="s">
        <v>33</v>
      </c>
      <c r="C22" s="4">
        <v>1</v>
      </c>
      <c r="D22" s="308"/>
      <c r="E22" s="54"/>
    </row>
    <row r="23" spans="1:5" ht="29" x14ac:dyDescent="0.35">
      <c r="A23" s="53">
        <v>46205</v>
      </c>
      <c r="B23" s="15" t="s">
        <v>32</v>
      </c>
      <c r="C23" s="4">
        <v>1</v>
      </c>
      <c r="D23" s="308"/>
      <c r="E23" s="54"/>
    </row>
    <row r="24" spans="1:5" ht="15" thickBot="1" x14ac:dyDescent="0.4">
      <c r="A24" s="55">
        <v>46205</v>
      </c>
      <c r="B24" s="59" t="s">
        <v>28</v>
      </c>
      <c r="C24" s="57">
        <v>2</v>
      </c>
      <c r="D24" s="309"/>
      <c r="E24" s="58"/>
    </row>
    <row r="25" spans="1:5" x14ac:dyDescent="0.35">
      <c r="A25" s="49">
        <v>46206</v>
      </c>
      <c r="B25" s="50" t="s">
        <v>23</v>
      </c>
      <c r="C25" s="51">
        <v>3</v>
      </c>
      <c r="D25" s="307">
        <v>9</v>
      </c>
      <c r="E25" s="52"/>
    </row>
    <row r="26" spans="1:5" ht="43.5" x14ac:dyDescent="0.35">
      <c r="A26" s="53">
        <v>46206</v>
      </c>
      <c r="B26" s="15" t="s">
        <v>30</v>
      </c>
      <c r="C26" s="4">
        <v>2</v>
      </c>
      <c r="D26" s="308"/>
      <c r="E26" s="54"/>
    </row>
    <row r="27" spans="1:5" ht="43.5" x14ac:dyDescent="0.35">
      <c r="A27" s="53">
        <v>46206</v>
      </c>
      <c r="B27" s="15" t="s">
        <v>33</v>
      </c>
      <c r="C27" s="4">
        <v>1</v>
      </c>
      <c r="D27" s="308"/>
      <c r="E27" s="54"/>
    </row>
    <row r="28" spans="1:5" ht="29" x14ac:dyDescent="0.35">
      <c r="A28" s="53">
        <v>46206</v>
      </c>
      <c r="B28" s="15" t="s">
        <v>32</v>
      </c>
      <c r="C28" s="4">
        <v>1</v>
      </c>
      <c r="D28" s="308"/>
      <c r="E28" s="54"/>
    </row>
    <row r="29" spans="1:5" ht="15" thickBot="1" x14ac:dyDescent="0.4">
      <c r="A29" s="55">
        <v>46206</v>
      </c>
      <c r="B29" s="59" t="s">
        <v>28</v>
      </c>
      <c r="C29" s="57">
        <v>2</v>
      </c>
      <c r="D29" s="309"/>
      <c r="E29" s="58"/>
    </row>
    <row r="30" spans="1:5" x14ac:dyDescent="0.35">
      <c r="A30" s="49">
        <v>46209</v>
      </c>
      <c r="B30" s="50" t="s">
        <v>23</v>
      </c>
      <c r="C30" s="51">
        <v>3</v>
      </c>
      <c r="D30" s="307">
        <v>9</v>
      </c>
      <c r="E30" s="52"/>
    </row>
    <row r="31" spans="1:5" ht="43.5" x14ac:dyDescent="0.35">
      <c r="A31" s="53">
        <v>46209</v>
      </c>
      <c r="B31" s="15" t="s">
        <v>30</v>
      </c>
      <c r="C31" s="4">
        <v>2</v>
      </c>
      <c r="D31" s="308"/>
      <c r="E31" s="54"/>
    </row>
    <row r="32" spans="1:5" ht="43.5" x14ac:dyDescent="0.35">
      <c r="A32" s="53">
        <v>46209</v>
      </c>
      <c r="B32" s="15" t="s">
        <v>33</v>
      </c>
      <c r="C32" s="4">
        <v>1</v>
      </c>
      <c r="D32" s="308"/>
      <c r="E32" s="54"/>
    </row>
    <row r="33" spans="1:5" x14ac:dyDescent="0.35">
      <c r="A33" s="53">
        <v>46209</v>
      </c>
      <c r="B33" s="15" t="s">
        <v>34</v>
      </c>
      <c r="C33" s="4">
        <v>1</v>
      </c>
      <c r="D33" s="308"/>
      <c r="E33" s="54"/>
    </row>
    <row r="34" spans="1:5" ht="15" thickBot="1" x14ac:dyDescent="0.4">
      <c r="A34" s="55">
        <v>46209</v>
      </c>
      <c r="B34" s="59" t="s">
        <v>28</v>
      </c>
      <c r="C34" s="57">
        <v>2</v>
      </c>
      <c r="D34" s="309"/>
      <c r="E34" s="58"/>
    </row>
    <row r="35" spans="1:5" x14ac:dyDescent="0.35">
      <c r="A35" s="49">
        <v>46210</v>
      </c>
      <c r="B35" s="50" t="s">
        <v>23</v>
      </c>
      <c r="C35" s="51">
        <v>3</v>
      </c>
      <c r="D35" s="307">
        <v>9</v>
      </c>
      <c r="E35" s="52"/>
    </row>
    <row r="36" spans="1:5" ht="43.5" x14ac:dyDescent="0.35">
      <c r="A36" s="53">
        <v>46210</v>
      </c>
      <c r="B36" s="15" t="s">
        <v>30</v>
      </c>
      <c r="C36" s="4">
        <v>2</v>
      </c>
      <c r="D36" s="308"/>
      <c r="E36" s="54"/>
    </row>
    <row r="37" spans="1:5" ht="43.5" x14ac:dyDescent="0.35">
      <c r="A37" s="53">
        <v>46210</v>
      </c>
      <c r="B37" s="15" t="s">
        <v>33</v>
      </c>
      <c r="C37" s="4">
        <v>1</v>
      </c>
      <c r="D37" s="308"/>
      <c r="E37" s="54"/>
    </row>
    <row r="38" spans="1:5" x14ac:dyDescent="0.35">
      <c r="A38" s="53">
        <v>46210</v>
      </c>
      <c r="B38" s="15" t="s">
        <v>34</v>
      </c>
      <c r="C38" s="4">
        <v>1</v>
      </c>
      <c r="D38" s="308"/>
      <c r="E38" s="54"/>
    </row>
    <row r="39" spans="1:5" ht="15" thickBot="1" x14ac:dyDescent="0.4">
      <c r="A39" s="55">
        <v>46210</v>
      </c>
      <c r="B39" s="59" t="s">
        <v>28</v>
      </c>
      <c r="C39" s="57">
        <v>2</v>
      </c>
      <c r="D39" s="309"/>
      <c r="E39" s="58"/>
    </row>
    <row r="40" spans="1:5" x14ac:dyDescent="0.35">
      <c r="A40" s="49">
        <v>46211</v>
      </c>
      <c r="B40" s="50" t="s">
        <v>23</v>
      </c>
      <c r="C40" s="51">
        <v>3</v>
      </c>
      <c r="D40" s="307">
        <v>9</v>
      </c>
      <c r="E40" s="52"/>
    </row>
    <row r="41" spans="1:5" ht="43.5" x14ac:dyDescent="0.35">
      <c r="A41" s="53">
        <v>46211</v>
      </c>
      <c r="B41" s="15" t="s">
        <v>30</v>
      </c>
      <c r="C41" s="4">
        <v>2</v>
      </c>
      <c r="D41" s="308"/>
      <c r="E41" s="54"/>
    </row>
    <row r="42" spans="1:5" ht="43.5" x14ac:dyDescent="0.35">
      <c r="A42" s="53">
        <v>46211</v>
      </c>
      <c r="B42" s="15" t="s">
        <v>33</v>
      </c>
      <c r="C42" s="4">
        <v>1</v>
      </c>
      <c r="D42" s="308"/>
      <c r="E42" s="54"/>
    </row>
    <row r="43" spans="1:5" x14ac:dyDescent="0.35">
      <c r="A43" s="53">
        <v>46211</v>
      </c>
      <c r="B43" s="15" t="s">
        <v>34</v>
      </c>
      <c r="C43" s="4">
        <v>1</v>
      </c>
      <c r="D43" s="308"/>
      <c r="E43" s="54"/>
    </row>
    <row r="44" spans="1:5" ht="15" thickBot="1" x14ac:dyDescent="0.4">
      <c r="A44" s="55">
        <v>46211</v>
      </c>
      <c r="B44" s="59" t="s">
        <v>28</v>
      </c>
      <c r="C44" s="57">
        <v>2</v>
      </c>
      <c r="D44" s="309"/>
      <c r="E44" s="58"/>
    </row>
    <row r="45" spans="1:5" ht="15" thickBot="1" x14ac:dyDescent="0.4">
      <c r="A45" s="49">
        <v>46212</v>
      </c>
      <c r="B45" s="50" t="s">
        <v>23</v>
      </c>
      <c r="C45" s="51">
        <v>3</v>
      </c>
      <c r="D45" s="307">
        <v>9</v>
      </c>
    </row>
    <row r="46" spans="1:5" ht="44" thickBot="1" x14ac:dyDescent="0.4">
      <c r="A46" s="49">
        <v>46212</v>
      </c>
      <c r="B46" s="15" t="s">
        <v>30</v>
      </c>
      <c r="C46" s="4">
        <v>2</v>
      </c>
      <c r="D46" s="308"/>
    </row>
    <row r="47" spans="1:5" ht="44" thickBot="1" x14ac:dyDescent="0.4">
      <c r="A47" s="49">
        <v>46212</v>
      </c>
      <c r="B47" s="15" t="s">
        <v>33</v>
      </c>
      <c r="C47" s="4">
        <v>1</v>
      </c>
      <c r="D47" s="308"/>
    </row>
    <row r="48" spans="1:5" ht="15" thickBot="1" x14ac:dyDescent="0.4">
      <c r="A48" s="49">
        <v>46212</v>
      </c>
      <c r="B48" s="15" t="s">
        <v>34</v>
      </c>
      <c r="C48" s="4">
        <v>1</v>
      </c>
      <c r="D48" s="308"/>
    </row>
    <row r="49" spans="1:4" ht="15" thickBot="1" x14ac:dyDescent="0.4">
      <c r="A49" s="49">
        <v>46212</v>
      </c>
      <c r="B49" s="59" t="s">
        <v>28</v>
      </c>
      <c r="C49" s="57">
        <v>2</v>
      </c>
      <c r="D49" s="309"/>
    </row>
    <row r="50" spans="1:4" ht="15" thickBot="1" x14ac:dyDescent="0.4">
      <c r="A50" s="49">
        <v>46213</v>
      </c>
      <c r="B50" s="50" t="s">
        <v>23</v>
      </c>
      <c r="C50" s="51">
        <v>3</v>
      </c>
      <c r="D50" s="307">
        <v>9</v>
      </c>
    </row>
    <row r="51" spans="1:4" ht="44" thickBot="1" x14ac:dyDescent="0.4">
      <c r="A51" s="49">
        <v>46213</v>
      </c>
      <c r="B51" s="15" t="s">
        <v>30</v>
      </c>
      <c r="C51" s="4">
        <v>2</v>
      </c>
      <c r="D51" s="308"/>
    </row>
    <row r="52" spans="1:4" ht="44" thickBot="1" x14ac:dyDescent="0.4">
      <c r="A52" s="49">
        <v>46213</v>
      </c>
      <c r="B52" s="15" t="s">
        <v>33</v>
      </c>
      <c r="C52" s="4">
        <v>1</v>
      </c>
      <c r="D52" s="308"/>
    </row>
    <row r="53" spans="1:4" ht="15" thickBot="1" x14ac:dyDescent="0.4">
      <c r="A53" s="49">
        <v>46213</v>
      </c>
      <c r="B53" s="15" t="s">
        <v>34</v>
      </c>
      <c r="C53" s="4">
        <v>1</v>
      </c>
      <c r="D53" s="308"/>
    </row>
    <row r="54" spans="1:4" ht="15" thickBot="1" x14ac:dyDescent="0.4">
      <c r="A54" s="49">
        <v>46213</v>
      </c>
      <c r="B54" s="59" t="s">
        <v>28</v>
      </c>
      <c r="C54" s="57">
        <v>2</v>
      </c>
      <c r="D54" s="309"/>
    </row>
    <row r="55" spans="1:4" ht="15" thickBot="1" x14ac:dyDescent="0.4">
      <c r="A55" s="49">
        <v>46216</v>
      </c>
      <c r="B55" s="50" t="s">
        <v>23</v>
      </c>
      <c r="C55" s="51">
        <v>3</v>
      </c>
      <c r="D55" s="307">
        <v>9</v>
      </c>
    </row>
    <row r="56" spans="1:4" ht="44" thickBot="1" x14ac:dyDescent="0.4">
      <c r="A56" s="49">
        <v>46216</v>
      </c>
      <c r="B56" s="15" t="s">
        <v>30</v>
      </c>
      <c r="C56" s="4">
        <v>2</v>
      </c>
      <c r="D56" s="308"/>
    </row>
    <row r="57" spans="1:4" ht="44" thickBot="1" x14ac:dyDescent="0.4">
      <c r="A57" s="49">
        <v>46216</v>
      </c>
      <c r="B57" s="15" t="s">
        <v>33</v>
      </c>
      <c r="C57" s="4">
        <v>1</v>
      </c>
      <c r="D57" s="308"/>
    </row>
    <row r="58" spans="1:4" ht="15" thickBot="1" x14ac:dyDescent="0.4">
      <c r="A58" s="49">
        <v>46216</v>
      </c>
      <c r="B58" s="15" t="s">
        <v>34</v>
      </c>
      <c r="C58" s="4">
        <v>1</v>
      </c>
      <c r="D58" s="308"/>
    </row>
    <row r="59" spans="1:4" ht="15" thickBot="1" x14ac:dyDescent="0.4">
      <c r="A59" s="49">
        <v>46216</v>
      </c>
      <c r="B59" s="59" t="s">
        <v>28</v>
      </c>
      <c r="C59" s="57">
        <v>2</v>
      </c>
      <c r="D59" s="309"/>
    </row>
    <row r="60" spans="1:4" ht="15" thickBot="1" x14ac:dyDescent="0.4">
      <c r="A60" s="49">
        <v>46217</v>
      </c>
      <c r="B60" s="50" t="s">
        <v>23</v>
      </c>
      <c r="C60" s="51">
        <v>3</v>
      </c>
      <c r="D60" s="307">
        <v>9</v>
      </c>
    </row>
    <row r="61" spans="1:4" ht="44" thickBot="1" x14ac:dyDescent="0.4">
      <c r="A61" s="49">
        <v>46217</v>
      </c>
      <c r="B61" s="15" t="s">
        <v>30</v>
      </c>
      <c r="C61" s="4">
        <v>2</v>
      </c>
      <c r="D61" s="308"/>
    </row>
    <row r="62" spans="1:4" ht="44" thickBot="1" x14ac:dyDescent="0.4">
      <c r="A62" s="49">
        <v>46217</v>
      </c>
      <c r="B62" s="15" t="s">
        <v>33</v>
      </c>
      <c r="C62" s="4">
        <v>1</v>
      </c>
      <c r="D62" s="308"/>
    </row>
    <row r="63" spans="1:4" ht="15" thickBot="1" x14ac:dyDescent="0.4">
      <c r="A63" s="49">
        <v>46217</v>
      </c>
      <c r="B63" s="15" t="s">
        <v>34</v>
      </c>
      <c r="C63" s="4">
        <v>1</v>
      </c>
      <c r="D63" s="308"/>
    </row>
    <row r="64" spans="1:4" ht="15" thickBot="1" x14ac:dyDescent="0.4">
      <c r="A64" s="49">
        <v>46217</v>
      </c>
      <c r="B64" s="59" t="s">
        <v>28</v>
      </c>
      <c r="C64" s="57">
        <v>2</v>
      </c>
      <c r="D64" s="309"/>
    </row>
    <row r="65" spans="1:4" ht="15" thickBot="1" x14ac:dyDescent="0.4">
      <c r="A65" s="49">
        <v>46218</v>
      </c>
      <c r="B65" s="50" t="s">
        <v>23</v>
      </c>
      <c r="C65" s="51">
        <v>3</v>
      </c>
      <c r="D65" s="307">
        <v>9</v>
      </c>
    </row>
    <row r="66" spans="1:4" ht="44" thickBot="1" x14ac:dyDescent="0.4">
      <c r="A66" s="49">
        <v>46218</v>
      </c>
      <c r="B66" s="15" t="s">
        <v>30</v>
      </c>
      <c r="C66" s="4">
        <v>2</v>
      </c>
      <c r="D66" s="308"/>
    </row>
    <row r="67" spans="1:4" ht="44" thickBot="1" x14ac:dyDescent="0.4">
      <c r="A67" s="49">
        <v>46218</v>
      </c>
      <c r="B67" s="15" t="s">
        <v>33</v>
      </c>
      <c r="C67" s="4">
        <v>1</v>
      </c>
      <c r="D67" s="308"/>
    </row>
    <row r="68" spans="1:4" ht="15" thickBot="1" x14ac:dyDescent="0.4">
      <c r="A68" s="49">
        <v>46218</v>
      </c>
      <c r="B68" s="15" t="s">
        <v>34</v>
      </c>
      <c r="C68" s="4">
        <v>1</v>
      </c>
      <c r="D68" s="308"/>
    </row>
    <row r="69" spans="1:4" ht="15" thickBot="1" x14ac:dyDescent="0.4">
      <c r="A69" s="49">
        <v>46218</v>
      </c>
      <c r="B69" s="59" t="s">
        <v>28</v>
      </c>
      <c r="C69" s="57">
        <v>2</v>
      </c>
      <c r="D69" s="309"/>
    </row>
    <row r="70" spans="1:4" ht="15" thickBot="1" x14ac:dyDescent="0.4">
      <c r="A70" s="49">
        <v>46219</v>
      </c>
      <c r="B70" s="50" t="s">
        <v>23</v>
      </c>
      <c r="C70" s="51">
        <v>3</v>
      </c>
      <c r="D70" s="307">
        <v>9</v>
      </c>
    </row>
    <row r="71" spans="1:4" ht="44" thickBot="1" x14ac:dyDescent="0.4">
      <c r="A71" s="49">
        <v>46219</v>
      </c>
      <c r="B71" s="15" t="s">
        <v>30</v>
      </c>
      <c r="C71" s="4">
        <v>2</v>
      </c>
      <c r="D71" s="308"/>
    </row>
    <row r="72" spans="1:4" ht="44" thickBot="1" x14ac:dyDescent="0.4">
      <c r="A72" s="49">
        <v>46219</v>
      </c>
      <c r="B72" s="15" t="s">
        <v>33</v>
      </c>
      <c r="C72" s="4">
        <v>1</v>
      </c>
      <c r="D72" s="308"/>
    </row>
    <row r="73" spans="1:4" ht="15" thickBot="1" x14ac:dyDescent="0.4">
      <c r="A73" s="49">
        <v>46219</v>
      </c>
      <c r="B73" s="15" t="s">
        <v>34</v>
      </c>
      <c r="C73" s="4">
        <v>1</v>
      </c>
      <c r="D73" s="308"/>
    </row>
    <row r="74" spans="1:4" ht="15" thickBot="1" x14ac:dyDescent="0.4">
      <c r="A74" s="49">
        <v>46219</v>
      </c>
      <c r="B74" s="59" t="s">
        <v>28</v>
      </c>
      <c r="C74" s="57">
        <v>2</v>
      </c>
      <c r="D74" s="309"/>
    </row>
    <row r="75" spans="1:4" ht="15" thickBot="1" x14ac:dyDescent="0.4">
      <c r="A75" s="49">
        <v>46220</v>
      </c>
      <c r="B75" s="50" t="s">
        <v>23</v>
      </c>
      <c r="C75" s="51">
        <v>3</v>
      </c>
      <c r="D75" s="307">
        <v>9</v>
      </c>
    </row>
    <row r="76" spans="1:4" ht="44" thickBot="1" x14ac:dyDescent="0.4">
      <c r="A76" s="49">
        <v>46220</v>
      </c>
      <c r="B76" s="15" t="s">
        <v>30</v>
      </c>
      <c r="C76" s="4">
        <v>2</v>
      </c>
      <c r="D76" s="308"/>
    </row>
    <row r="77" spans="1:4" ht="44" thickBot="1" x14ac:dyDescent="0.4">
      <c r="A77" s="49">
        <v>46220</v>
      </c>
      <c r="B77" s="15" t="s">
        <v>33</v>
      </c>
      <c r="C77" s="4">
        <v>1</v>
      </c>
      <c r="D77" s="308"/>
    </row>
    <row r="78" spans="1:4" ht="15" thickBot="1" x14ac:dyDescent="0.4">
      <c r="A78" s="49">
        <v>46220</v>
      </c>
      <c r="B78" s="15" t="s">
        <v>34</v>
      </c>
      <c r="C78" s="4">
        <v>1</v>
      </c>
      <c r="D78" s="308"/>
    </row>
    <row r="79" spans="1:4" ht="15" thickBot="1" x14ac:dyDescent="0.4">
      <c r="A79" s="49">
        <v>46220</v>
      </c>
      <c r="B79" s="59" t="s">
        <v>28</v>
      </c>
      <c r="C79" s="57">
        <v>2</v>
      </c>
      <c r="D79" s="309"/>
    </row>
    <row r="80" spans="1:4" ht="15" thickBot="1" x14ac:dyDescent="0.4">
      <c r="A80" s="49">
        <v>46223</v>
      </c>
      <c r="B80" s="50" t="s">
        <v>23</v>
      </c>
      <c r="C80" s="51">
        <v>3</v>
      </c>
      <c r="D80" s="307">
        <v>9</v>
      </c>
    </row>
    <row r="81" spans="1:4" ht="44" thickBot="1" x14ac:dyDescent="0.4">
      <c r="A81" s="49">
        <v>46223</v>
      </c>
      <c r="B81" s="15" t="s">
        <v>30</v>
      </c>
      <c r="C81" s="4">
        <v>2</v>
      </c>
      <c r="D81" s="308"/>
    </row>
    <row r="82" spans="1:4" ht="44" thickBot="1" x14ac:dyDescent="0.4">
      <c r="A82" s="49">
        <v>46223</v>
      </c>
      <c r="B82" s="15" t="s">
        <v>33</v>
      </c>
      <c r="C82" s="4">
        <v>1</v>
      </c>
      <c r="D82" s="308"/>
    </row>
    <row r="83" spans="1:4" ht="15" thickBot="1" x14ac:dyDescent="0.4">
      <c r="A83" s="49">
        <v>46223</v>
      </c>
      <c r="B83" s="15" t="s">
        <v>34</v>
      </c>
      <c r="C83" s="4">
        <v>1</v>
      </c>
      <c r="D83" s="308"/>
    </row>
    <row r="84" spans="1:4" ht="15" thickBot="1" x14ac:dyDescent="0.4">
      <c r="A84" s="49">
        <v>46223</v>
      </c>
      <c r="B84" s="59" t="s">
        <v>28</v>
      </c>
      <c r="C84" s="57">
        <v>2</v>
      </c>
      <c r="D84" s="309"/>
    </row>
    <row r="85" spans="1:4" ht="15" thickBot="1" x14ac:dyDescent="0.4">
      <c r="A85" s="49">
        <v>46224</v>
      </c>
      <c r="B85" s="50" t="s">
        <v>23</v>
      </c>
      <c r="C85" s="51">
        <v>3</v>
      </c>
      <c r="D85" s="307">
        <v>9</v>
      </c>
    </row>
    <row r="86" spans="1:4" ht="44" thickBot="1" x14ac:dyDescent="0.4">
      <c r="A86" s="49">
        <v>46224</v>
      </c>
      <c r="B86" s="15" t="s">
        <v>30</v>
      </c>
      <c r="C86" s="4">
        <v>2</v>
      </c>
      <c r="D86" s="308"/>
    </row>
    <row r="87" spans="1:4" ht="44" thickBot="1" x14ac:dyDescent="0.4">
      <c r="A87" s="49">
        <v>46224</v>
      </c>
      <c r="B87" s="15" t="s">
        <v>33</v>
      </c>
      <c r="C87" s="4">
        <v>1</v>
      </c>
      <c r="D87" s="308"/>
    </row>
    <row r="88" spans="1:4" ht="15" thickBot="1" x14ac:dyDescent="0.4">
      <c r="A88" s="49">
        <v>46224</v>
      </c>
      <c r="B88" s="15" t="s">
        <v>34</v>
      </c>
      <c r="C88" s="4">
        <v>1</v>
      </c>
      <c r="D88" s="308"/>
    </row>
    <row r="89" spans="1:4" ht="15" thickBot="1" x14ac:dyDescent="0.4">
      <c r="A89" s="49">
        <v>46224</v>
      </c>
      <c r="B89" s="59" t="s">
        <v>28</v>
      </c>
      <c r="C89" s="57">
        <v>2</v>
      </c>
      <c r="D89" s="309"/>
    </row>
    <row r="90" spans="1:4" ht="15" thickBot="1" x14ac:dyDescent="0.4">
      <c r="A90" s="49">
        <v>46225</v>
      </c>
      <c r="B90" s="50" t="s">
        <v>23</v>
      </c>
      <c r="C90" s="51">
        <v>3</v>
      </c>
      <c r="D90" s="307">
        <v>9</v>
      </c>
    </row>
    <row r="91" spans="1:4" ht="44" thickBot="1" x14ac:dyDescent="0.4">
      <c r="A91" s="49">
        <v>46225</v>
      </c>
      <c r="B91" s="15" t="s">
        <v>30</v>
      </c>
      <c r="C91" s="4">
        <v>2</v>
      </c>
      <c r="D91" s="308"/>
    </row>
    <row r="92" spans="1:4" ht="44" thickBot="1" x14ac:dyDescent="0.4">
      <c r="A92" s="49">
        <v>46225</v>
      </c>
      <c r="B92" s="15" t="s">
        <v>33</v>
      </c>
      <c r="C92" s="4">
        <v>1</v>
      </c>
      <c r="D92" s="308"/>
    </row>
    <row r="93" spans="1:4" ht="15" thickBot="1" x14ac:dyDescent="0.4">
      <c r="A93" s="49">
        <v>46225</v>
      </c>
      <c r="B93" s="15" t="s">
        <v>34</v>
      </c>
      <c r="C93" s="4">
        <v>1</v>
      </c>
      <c r="D93" s="308"/>
    </row>
    <row r="94" spans="1:4" ht="15" thickBot="1" x14ac:dyDescent="0.4">
      <c r="A94" s="49">
        <v>46225</v>
      </c>
      <c r="B94" s="59" t="s">
        <v>28</v>
      </c>
      <c r="C94" s="57">
        <v>2</v>
      </c>
      <c r="D94" s="309"/>
    </row>
  </sheetData>
  <mergeCells count="18">
    <mergeCell ref="D70:D74"/>
    <mergeCell ref="D75:D79"/>
    <mergeCell ref="D80:D84"/>
    <mergeCell ref="D85:D89"/>
    <mergeCell ref="D90:D94"/>
    <mergeCell ref="D45:D49"/>
    <mergeCell ref="D50:D54"/>
    <mergeCell ref="D55:D59"/>
    <mergeCell ref="D60:D64"/>
    <mergeCell ref="D65:D69"/>
    <mergeCell ref="D30:D34"/>
    <mergeCell ref="D35:D39"/>
    <mergeCell ref="D40:D44"/>
    <mergeCell ref="D3:D5"/>
    <mergeCell ref="D8:D14"/>
    <mergeCell ref="D15:D19"/>
    <mergeCell ref="D20:D24"/>
    <mergeCell ref="D25:D2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5F648-980A-459F-8B53-1F2C5790DD2C}">
  <dimension ref="A1:E55"/>
  <sheetViews>
    <sheetView topLeftCell="A54" workbookViewId="0">
      <selection activeCell="B30" sqref="B30"/>
    </sheetView>
  </sheetViews>
  <sheetFormatPr defaultRowHeight="14.5" x14ac:dyDescent="0.35"/>
  <cols>
    <col min="1" max="1" width="11.54296875" customWidth="1"/>
    <col min="2" max="2" width="41.7265625" style="100" customWidth="1"/>
    <col min="3" max="3" width="11.81640625" customWidth="1"/>
    <col min="4" max="4" width="16.26953125" customWidth="1"/>
    <col min="5" max="5" width="45" customWidth="1"/>
  </cols>
  <sheetData>
    <row r="1" spans="1:5" ht="29" x14ac:dyDescent="0.35">
      <c r="A1" s="1" t="s">
        <v>0</v>
      </c>
      <c r="B1" s="2" t="s">
        <v>1</v>
      </c>
      <c r="C1" s="2" t="s">
        <v>2</v>
      </c>
      <c r="D1" s="2" t="s">
        <v>3</v>
      </c>
      <c r="E1" s="1" t="s">
        <v>4</v>
      </c>
    </row>
    <row r="2" spans="1:5" x14ac:dyDescent="0.35">
      <c r="A2" s="10" t="s">
        <v>5</v>
      </c>
      <c r="B2" s="201"/>
      <c r="C2" s="11"/>
      <c r="D2" s="11"/>
      <c r="E2" s="10"/>
    </row>
    <row r="3" spans="1:5" x14ac:dyDescent="0.35">
      <c r="A3" s="5">
        <v>46204</v>
      </c>
      <c r="B3" s="36" t="s">
        <v>6</v>
      </c>
      <c r="C3" s="87">
        <v>2</v>
      </c>
      <c r="D3" s="298">
        <v>9</v>
      </c>
      <c r="E3" s="6"/>
    </row>
    <row r="4" spans="1:5" x14ac:dyDescent="0.35">
      <c r="A4" s="5">
        <v>46204</v>
      </c>
      <c r="B4" s="202" t="s">
        <v>7</v>
      </c>
      <c r="C4" s="92">
        <v>6</v>
      </c>
      <c r="D4" s="316"/>
      <c r="E4" s="6"/>
    </row>
    <row r="5" spans="1:5" x14ac:dyDescent="0.35">
      <c r="A5" s="5">
        <v>46204</v>
      </c>
      <c r="B5" s="36" t="s">
        <v>8</v>
      </c>
      <c r="C5" s="8">
        <v>1</v>
      </c>
      <c r="D5" s="300"/>
      <c r="E5" s="6"/>
    </row>
    <row r="6" spans="1:5" x14ac:dyDescent="0.35">
      <c r="A6" s="12"/>
      <c r="B6" s="203"/>
      <c r="C6" s="13"/>
      <c r="D6" s="13"/>
      <c r="E6" s="12"/>
    </row>
    <row r="7" spans="1:5" x14ac:dyDescent="0.35">
      <c r="A7" s="9" t="s">
        <v>9</v>
      </c>
      <c r="B7" s="15"/>
      <c r="C7" s="4"/>
      <c r="D7" s="4"/>
      <c r="E7" s="3"/>
    </row>
    <row r="8" spans="1:5" x14ac:dyDescent="0.35">
      <c r="A8" s="35">
        <v>46204</v>
      </c>
      <c r="B8" s="15" t="s">
        <v>23</v>
      </c>
      <c r="C8" s="4">
        <v>2</v>
      </c>
      <c r="D8" s="301">
        <v>10</v>
      </c>
      <c r="E8" s="3"/>
    </row>
    <row r="9" spans="1:5" x14ac:dyDescent="0.35">
      <c r="A9" s="35">
        <v>46204</v>
      </c>
      <c r="B9" s="15" t="s">
        <v>24</v>
      </c>
      <c r="C9" s="4">
        <v>2</v>
      </c>
      <c r="D9" s="302"/>
      <c r="E9" s="3"/>
    </row>
    <row r="10" spans="1:5" ht="43.5" x14ac:dyDescent="0.35">
      <c r="A10" s="35">
        <v>46204</v>
      </c>
      <c r="B10" s="15" t="s">
        <v>25</v>
      </c>
      <c r="C10" s="4">
        <v>1</v>
      </c>
      <c r="D10" s="302"/>
      <c r="E10" s="3"/>
    </row>
    <row r="11" spans="1:5" ht="29" x14ac:dyDescent="0.35">
      <c r="A11" s="35">
        <v>46204</v>
      </c>
      <c r="B11" s="15" t="s">
        <v>26</v>
      </c>
      <c r="C11" s="4">
        <v>1</v>
      </c>
      <c r="D11" s="302"/>
      <c r="E11" s="3"/>
    </row>
    <row r="12" spans="1:5" ht="43.5" x14ac:dyDescent="0.35">
      <c r="A12" s="35">
        <v>46204</v>
      </c>
      <c r="B12" s="15" t="s">
        <v>27</v>
      </c>
      <c r="C12" s="4" t="s">
        <v>35</v>
      </c>
      <c r="D12" s="302"/>
      <c r="E12" s="3"/>
    </row>
    <row r="13" spans="1:5" x14ac:dyDescent="0.35">
      <c r="A13" s="35">
        <v>46204</v>
      </c>
      <c r="B13" s="15" t="s">
        <v>36</v>
      </c>
      <c r="C13" s="4" t="s">
        <v>35</v>
      </c>
      <c r="D13" s="302"/>
      <c r="E13" s="3"/>
    </row>
    <row r="14" spans="1:5" ht="29" x14ac:dyDescent="0.35">
      <c r="A14" s="35">
        <v>46204</v>
      </c>
      <c r="B14" s="15" t="s">
        <v>29</v>
      </c>
      <c r="C14" s="4">
        <v>1</v>
      </c>
      <c r="D14" s="302"/>
      <c r="E14" s="3"/>
    </row>
    <row r="15" spans="1:5" x14ac:dyDescent="0.35">
      <c r="A15" s="35">
        <v>46204</v>
      </c>
      <c r="B15" s="15" t="s">
        <v>37</v>
      </c>
      <c r="C15" s="4">
        <v>1</v>
      </c>
      <c r="D15" s="302"/>
      <c r="E15" s="3"/>
    </row>
    <row r="16" spans="1:5" x14ac:dyDescent="0.35">
      <c r="A16" s="35">
        <v>46204</v>
      </c>
      <c r="B16" s="15" t="s">
        <v>38</v>
      </c>
      <c r="C16" s="4">
        <v>1</v>
      </c>
      <c r="D16" s="303"/>
      <c r="E16" s="3"/>
    </row>
    <row r="17" spans="1:5" x14ac:dyDescent="0.35">
      <c r="A17" s="35">
        <v>46205</v>
      </c>
      <c r="B17" s="15" t="s">
        <v>23</v>
      </c>
      <c r="C17" s="4">
        <v>2</v>
      </c>
      <c r="D17" s="301">
        <v>9.5</v>
      </c>
      <c r="E17" s="3"/>
    </row>
    <row r="18" spans="1:5" ht="43.5" x14ac:dyDescent="0.35">
      <c r="A18" s="35">
        <v>46205</v>
      </c>
      <c r="B18" s="15" t="s">
        <v>39</v>
      </c>
      <c r="C18" s="4">
        <v>2</v>
      </c>
      <c r="D18" s="302"/>
      <c r="E18" s="3"/>
    </row>
    <row r="19" spans="1:5" ht="43.5" x14ac:dyDescent="0.35">
      <c r="A19" s="35">
        <v>46205</v>
      </c>
      <c r="B19" s="15" t="s">
        <v>31</v>
      </c>
      <c r="C19" s="4">
        <v>1</v>
      </c>
      <c r="D19" s="302"/>
      <c r="E19" s="3"/>
    </row>
    <row r="20" spans="1:5" ht="29" x14ac:dyDescent="0.35">
      <c r="A20" s="35">
        <v>46205</v>
      </c>
      <c r="B20" s="15" t="s">
        <v>32</v>
      </c>
      <c r="C20" s="4">
        <v>2</v>
      </c>
      <c r="D20" s="302"/>
      <c r="E20" s="3"/>
    </row>
    <row r="21" spans="1:5" x14ac:dyDescent="0.35">
      <c r="A21" s="35">
        <v>46205</v>
      </c>
      <c r="B21" s="15" t="s">
        <v>40</v>
      </c>
      <c r="C21" s="4" t="s">
        <v>35</v>
      </c>
      <c r="D21" s="302"/>
      <c r="E21" s="3"/>
    </row>
    <row r="22" spans="1:5" ht="29" x14ac:dyDescent="0.35">
      <c r="A22" s="35">
        <v>46205</v>
      </c>
      <c r="B22" s="15" t="s">
        <v>41</v>
      </c>
      <c r="C22" s="4">
        <v>2</v>
      </c>
      <c r="D22" s="317"/>
      <c r="E22" s="3"/>
    </row>
    <row r="23" spans="1:5" x14ac:dyDescent="0.35">
      <c r="A23" s="41">
        <v>46206</v>
      </c>
      <c r="B23" s="108" t="s">
        <v>42</v>
      </c>
      <c r="C23" s="73">
        <v>2</v>
      </c>
      <c r="D23" s="312">
        <v>9</v>
      </c>
      <c r="E23" s="42"/>
    </row>
    <row r="24" spans="1:5" ht="29" x14ac:dyDescent="0.35">
      <c r="A24" s="41">
        <v>46206</v>
      </c>
      <c r="B24" s="108" t="s">
        <v>43</v>
      </c>
      <c r="C24" s="73">
        <v>3</v>
      </c>
      <c r="D24" s="313"/>
      <c r="E24" s="42" t="s">
        <v>44</v>
      </c>
    </row>
    <row r="25" spans="1:5" ht="29" x14ac:dyDescent="0.35">
      <c r="A25" s="41">
        <v>46206</v>
      </c>
      <c r="B25" s="108" t="s">
        <v>45</v>
      </c>
      <c r="C25" s="73" t="s">
        <v>35</v>
      </c>
      <c r="D25" s="313"/>
      <c r="E25" s="42"/>
    </row>
    <row r="26" spans="1:5" x14ac:dyDescent="0.35">
      <c r="A26" s="41">
        <v>46206</v>
      </c>
      <c r="B26" s="108" t="s">
        <v>46</v>
      </c>
      <c r="C26" s="73" t="s">
        <v>35</v>
      </c>
      <c r="D26" s="313"/>
      <c r="E26" s="42"/>
    </row>
    <row r="27" spans="1:5" x14ac:dyDescent="0.35">
      <c r="A27" s="41">
        <v>46206</v>
      </c>
      <c r="B27" s="108" t="s">
        <v>47</v>
      </c>
      <c r="C27" s="73">
        <v>1</v>
      </c>
      <c r="D27" s="313"/>
      <c r="E27" s="42"/>
    </row>
    <row r="28" spans="1:5" ht="29" x14ac:dyDescent="0.35">
      <c r="A28" s="41">
        <v>46206</v>
      </c>
      <c r="B28" s="108" t="s">
        <v>32</v>
      </c>
      <c r="C28" s="28">
        <v>2</v>
      </c>
      <c r="D28" s="314"/>
      <c r="E28" s="42"/>
    </row>
    <row r="29" spans="1:5" x14ac:dyDescent="0.35">
      <c r="A29" s="41">
        <v>46209</v>
      </c>
      <c r="B29" s="108" t="s">
        <v>23</v>
      </c>
      <c r="C29" s="42">
        <v>2</v>
      </c>
      <c r="D29" s="315">
        <v>9</v>
      </c>
      <c r="E29" s="42"/>
    </row>
    <row r="30" spans="1:5" ht="29" x14ac:dyDescent="0.35">
      <c r="A30" s="41">
        <v>46209</v>
      </c>
      <c r="B30" s="108" t="s">
        <v>48</v>
      </c>
      <c r="C30" s="42">
        <v>3</v>
      </c>
      <c r="D30" s="315"/>
      <c r="E30" s="108" t="s">
        <v>49</v>
      </c>
    </row>
    <row r="31" spans="1:5" x14ac:dyDescent="0.35">
      <c r="A31" s="41">
        <v>46209</v>
      </c>
      <c r="B31" s="108" t="s">
        <v>50</v>
      </c>
      <c r="C31" s="42">
        <v>1</v>
      </c>
      <c r="D31" s="315"/>
      <c r="E31" s="42"/>
    </row>
    <row r="32" spans="1:5" ht="29" x14ac:dyDescent="0.35">
      <c r="A32" s="41">
        <v>46209</v>
      </c>
      <c r="B32" s="108" t="s">
        <v>51</v>
      </c>
      <c r="C32" s="42">
        <v>1</v>
      </c>
      <c r="D32" s="315"/>
      <c r="E32" s="42"/>
    </row>
    <row r="33" spans="1:5" ht="29" x14ac:dyDescent="0.35">
      <c r="A33" s="41">
        <v>46209</v>
      </c>
      <c r="B33" s="108" t="s">
        <v>52</v>
      </c>
      <c r="C33" s="42">
        <v>1</v>
      </c>
      <c r="D33" s="315"/>
      <c r="E33" s="42"/>
    </row>
    <row r="34" spans="1:5" ht="29" x14ac:dyDescent="0.35">
      <c r="A34" s="157">
        <v>46209</v>
      </c>
      <c r="B34" s="165" t="s">
        <v>53</v>
      </c>
      <c r="C34" s="166">
        <v>1</v>
      </c>
      <c r="D34" s="312"/>
      <c r="E34" s="166"/>
    </row>
    <row r="35" spans="1:5" x14ac:dyDescent="0.35">
      <c r="A35" s="41">
        <v>46210</v>
      </c>
      <c r="B35" s="108" t="s">
        <v>23</v>
      </c>
      <c r="C35" s="42">
        <v>2</v>
      </c>
      <c r="D35" s="312">
        <v>9</v>
      </c>
      <c r="E35" s="42"/>
    </row>
    <row r="36" spans="1:5" ht="29" x14ac:dyDescent="0.35">
      <c r="A36" s="41">
        <v>46210</v>
      </c>
      <c r="B36" s="108" t="s">
        <v>54</v>
      </c>
      <c r="C36" s="42">
        <v>3</v>
      </c>
      <c r="D36" s="313"/>
      <c r="E36" s="42" t="s">
        <v>44</v>
      </c>
    </row>
    <row r="37" spans="1:5" ht="43.5" x14ac:dyDescent="0.35">
      <c r="A37" s="41">
        <v>46210</v>
      </c>
      <c r="B37" s="108" t="s">
        <v>55</v>
      </c>
      <c r="C37" s="42">
        <v>2</v>
      </c>
      <c r="D37" s="313"/>
      <c r="E37" s="108" t="s">
        <v>49</v>
      </c>
    </row>
    <row r="38" spans="1:5" ht="29" x14ac:dyDescent="0.35">
      <c r="A38" s="41">
        <v>46210</v>
      </c>
      <c r="B38" s="108" t="s">
        <v>56</v>
      </c>
      <c r="C38" s="167" t="s">
        <v>35</v>
      </c>
      <c r="D38" s="313"/>
      <c r="E38" s="42"/>
    </row>
    <row r="39" spans="1:5" x14ac:dyDescent="0.35">
      <c r="A39" s="41">
        <v>46210</v>
      </c>
      <c r="B39" s="108" t="s">
        <v>57</v>
      </c>
      <c r="C39" s="167" t="s">
        <v>35</v>
      </c>
      <c r="D39" s="313"/>
      <c r="E39" s="42"/>
    </row>
    <row r="40" spans="1:5" ht="29" x14ac:dyDescent="0.35">
      <c r="A40" s="41">
        <v>46210</v>
      </c>
      <c r="B40" s="108" t="s">
        <v>58</v>
      </c>
      <c r="C40" s="42">
        <v>1</v>
      </c>
      <c r="D40" s="314"/>
      <c r="E40" s="42"/>
    </row>
    <row r="41" spans="1:5" x14ac:dyDescent="0.35">
      <c r="A41" s="41">
        <v>46211</v>
      </c>
      <c r="B41" s="108" t="s">
        <v>23</v>
      </c>
      <c r="C41" s="42">
        <v>2</v>
      </c>
      <c r="D41" s="315">
        <v>9</v>
      </c>
      <c r="E41" s="42"/>
    </row>
    <row r="42" spans="1:5" ht="29" x14ac:dyDescent="0.35">
      <c r="A42" s="41">
        <v>46211</v>
      </c>
      <c r="B42" s="108" t="s">
        <v>59</v>
      </c>
      <c r="C42" s="42">
        <v>1</v>
      </c>
      <c r="D42" s="315"/>
      <c r="E42" s="42"/>
    </row>
    <row r="43" spans="1:5" ht="29" x14ac:dyDescent="0.35">
      <c r="A43" s="41">
        <v>46211</v>
      </c>
      <c r="B43" s="108" t="s">
        <v>60</v>
      </c>
      <c r="C43" s="42">
        <v>2</v>
      </c>
      <c r="D43" s="315"/>
      <c r="E43" s="42"/>
    </row>
    <row r="44" spans="1:5" ht="29" x14ac:dyDescent="0.35">
      <c r="A44" s="41">
        <v>46211</v>
      </c>
      <c r="B44" s="108" t="s">
        <v>61</v>
      </c>
      <c r="C44" s="42">
        <v>1</v>
      </c>
      <c r="D44" s="315"/>
      <c r="E44" s="42"/>
    </row>
    <row r="45" spans="1:5" x14ac:dyDescent="0.35">
      <c r="A45" s="41">
        <v>46211</v>
      </c>
      <c r="B45" s="108" t="s">
        <v>62</v>
      </c>
      <c r="C45" s="42">
        <v>1</v>
      </c>
      <c r="D45" s="315"/>
      <c r="E45" s="42"/>
    </row>
    <row r="46" spans="1:5" ht="29" x14ac:dyDescent="0.35">
      <c r="A46" s="41">
        <v>46211</v>
      </c>
      <c r="B46" s="108" t="s">
        <v>63</v>
      </c>
      <c r="C46" s="42">
        <v>2</v>
      </c>
      <c r="D46" s="315"/>
      <c r="E46" s="42"/>
    </row>
    <row r="47" spans="1:5" x14ac:dyDescent="0.35">
      <c r="A47" s="41">
        <v>46212</v>
      </c>
      <c r="B47" s="108" t="s">
        <v>23</v>
      </c>
      <c r="C47" s="42">
        <v>3</v>
      </c>
      <c r="D47" s="312">
        <v>9</v>
      </c>
      <c r="E47" s="42"/>
    </row>
    <row r="48" spans="1:5" ht="29" x14ac:dyDescent="0.35">
      <c r="A48" s="41">
        <v>46212</v>
      </c>
      <c r="B48" s="108" t="s">
        <v>64</v>
      </c>
      <c r="C48" s="42">
        <v>1</v>
      </c>
      <c r="D48" s="313"/>
      <c r="E48" s="42"/>
    </row>
    <row r="49" spans="1:5" x14ac:dyDescent="0.35">
      <c r="A49" s="41">
        <v>46212</v>
      </c>
      <c r="B49" s="108" t="s">
        <v>65</v>
      </c>
      <c r="C49" s="42">
        <v>2</v>
      </c>
      <c r="D49" s="313"/>
      <c r="E49" s="42"/>
    </row>
    <row r="50" spans="1:5" ht="29" x14ac:dyDescent="0.35">
      <c r="A50" s="41">
        <v>46212</v>
      </c>
      <c r="B50" s="108" t="s">
        <v>66</v>
      </c>
      <c r="C50" s="42">
        <v>3</v>
      </c>
      <c r="D50" s="314"/>
      <c r="E50" s="42"/>
    </row>
    <row r="51" spans="1:5" x14ac:dyDescent="0.35">
      <c r="A51" s="41">
        <v>46213</v>
      </c>
      <c r="B51" s="108" t="s">
        <v>23</v>
      </c>
      <c r="C51" s="42">
        <v>3</v>
      </c>
      <c r="D51" s="312">
        <v>9</v>
      </c>
      <c r="E51" s="42"/>
    </row>
    <row r="52" spans="1:5" ht="29" x14ac:dyDescent="0.35">
      <c r="A52" s="41">
        <v>46213</v>
      </c>
      <c r="B52" s="108" t="s">
        <v>67</v>
      </c>
      <c r="C52" s="42">
        <v>1</v>
      </c>
      <c r="D52" s="313"/>
      <c r="E52" s="42"/>
    </row>
    <row r="53" spans="1:5" ht="43.5" x14ac:dyDescent="0.35">
      <c r="A53" s="41">
        <v>46213</v>
      </c>
      <c r="B53" s="108" t="s">
        <v>68</v>
      </c>
      <c r="C53" s="42">
        <v>2</v>
      </c>
      <c r="D53" s="313"/>
      <c r="E53" s="42"/>
    </row>
    <row r="54" spans="1:5" ht="43.5" x14ac:dyDescent="0.35">
      <c r="A54" s="41">
        <v>46213</v>
      </c>
      <c r="B54" s="108" t="s">
        <v>69</v>
      </c>
      <c r="C54" s="204">
        <v>1</v>
      </c>
      <c r="D54" s="313"/>
      <c r="E54" s="42"/>
    </row>
    <row r="55" spans="1:5" ht="43.5" x14ac:dyDescent="0.35">
      <c r="A55" s="41">
        <v>46213</v>
      </c>
      <c r="B55" s="108" t="s">
        <v>70</v>
      </c>
      <c r="C55" s="42">
        <v>2</v>
      </c>
      <c r="D55" s="314"/>
      <c r="E55" s="42"/>
    </row>
  </sheetData>
  <mergeCells count="9">
    <mergeCell ref="D35:D40"/>
    <mergeCell ref="D41:D46"/>
    <mergeCell ref="D47:D50"/>
    <mergeCell ref="D51:D55"/>
    <mergeCell ref="D3:D5"/>
    <mergeCell ref="D17:D22"/>
    <mergeCell ref="D8:D16"/>
    <mergeCell ref="D23:D28"/>
    <mergeCell ref="D29:D3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904B0-DC00-421F-B723-3B9DCA4532AF}">
  <dimension ref="A1:E174"/>
  <sheetViews>
    <sheetView topLeftCell="A162" workbookViewId="0">
      <selection activeCell="D166" sqref="D166"/>
    </sheetView>
  </sheetViews>
  <sheetFormatPr defaultRowHeight="14.5" x14ac:dyDescent="0.35"/>
  <cols>
    <col min="1" max="1" width="11.54296875" customWidth="1"/>
    <col min="2" max="2" width="41.7265625" customWidth="1"/>
    <col min="3" max="3" width="11.81640625" style="94" customWidth="1"/>
    <col min="4" max="4" width="16.26953125" customWidth="1"/>
    <col min="5" max="5" width="63.7265625" customWidth="1"/>
  </cols>
  <sheetData>
    <row r="1" spans="1:5" ht="29" x14ac:dyDescent="0.35">
      <c r="A1" s="182" t="s">
        <v>0</v>
      </c>
      <c r="B1" s="182" t="s">
        <v>1</v>
      </c>
      <c r="C1" s="183" t="s">
        <v>2</v>
      </c>
      <c r="D1" s="184" t="s">
        <v>3</v>
      </c>
      <c r="E1" s="182" t="s">
        <v>4</v>
      </c>
    </row>
    <row r="2" spans="1:5" x14ac:dyDescent="0.35">
      <c r="A2" s="185" t="s">
        <v>5</v>
      </c>
      <c r="B2" s="185"/>
      <c r="C2" s="186"/>
      <c r="D2" s="186"/>
      <c r="E2" s="185"/>
    </row>
    <row r="3" spans="1:5" x14ac:dyDescent="0.35">
      <c r="A3" s="187">
        <v>46204</v>
      </c>
      <c r="B3" s="126" t="s">
        <v>6</v>
      </c>
      <c r="C3" s="162">
        <v>2</v>
      </c>
      <c r="D3" s="322">
        <v>9</v>
      </c>
      <c r="E3" s="126"/>
    </row>
    <row r="4" spans="1:5" x14ac:dyDescent="0.35">
      <c r="A4" s="187">
        <v>46204</v>
      </c>
      <c r="B4" s="126" t="s">
        <v>7</v>
      </c>
      <c r="C4" s="162">
        <v>6</v>
      </c>
      <c r="D4" s="322"/>
      <c r="E4" s="126"/>
    </row>
    <row r="5" spans="1:5" x14ac:dyDescent="0.35">
      <c r="A5" s="187">
        <v>46204</v>
      </c>
      <c r="B5" s="126" t="s">
        <v>8</v>
      </c>
      <c r="C5" s="162">
        <v>1</v>
      </c>
      <c r="D5" s="322"/>
      <c r="E5" s="126"/>
    </row>
    <row r="6" spans="1:5" x14ac:dyDescent="0.35">
      <c r="A6" s="188"/>
      <c r="B6" s="188"/>
      <c r="C6" s="189"/>
      <c r="D6" s="189"/>
      <c r="E6" s="188"/>
    </row>
    <row r="7" spans="1:5" x14ac:dyDescent="0.35">
      <c r="A7" s="190" t="s">
        <v>9</v>
      </c>
      <c r="B7" s="42"/>
      <c r="C7" s="28"/>
      <c r="D7" s="28"/>
      <c r="E7" s="42"/>
    </row>
    <row r="8" spans="1:5" x14ac:dyDescent="0.35">
      <c r="A8" s="41">
        <v>46204</v>
      </c>
      <c r="B8" s="45" t="s">
        <v>8</v>
      </c>
      <c r="C8" s="28">
        <v>2</v>
      </c>
      <c r="D8" s="315">
        <v>10</v>
      </c>
      <c r="E8" s="42" t="s">
        <v>71</v>
      </c>
    </row>
    <row r="9" spans="1:5" ht="58" x14ac:dyDescent="0.35">
      <c r="A9" s="41">
        <v>46204</v>
      </c>
      <c r="B9" s="93" t="s">
        <v>72</v>
      </c>
      <c r="C9" s="28">
        <v>6</v>
      </c>
      <c r="D9" s="315"/>
      <c r="E9" s="42" t="s">
        <v>73</v>
      </c>
    </row>
    <row r="10" spans="1:5" x14ac:dyDescent="0.35">
      <c r="A10" s="41">
        <v>46204</v>
      </c>
      <c r="B10" s="93" t="s">
        <v>74</v>
      </c>
      <c r="C10" s="28">
        <v>1</v>
      </c>
      <c r="D10" s="315"/>
      <c r="E10" s="42" t="s">
        <v>75</v>
      </c>
    </row>
    <row r="11" spans="1:5" x14ac:dyDescent="0.35">
      <c r="A11" s="41">
        <v>46204</v>
      </c>
      <c r="B11" s="93" t="s">
        <v>76</v>
      </c>
      <c r="C11" s="28">
        <v>1</v>
      </c>
      <c r="D11" s="315"/>
      <c r="E11" s="42" t="s">
        <v>71</v>
      </c>
    </row>
    <row r="12" spans="1:5" x14ac:dyDescent="0.35">
      <c r="A12" s="191"/>
      <c r="B12" s="192"/>
      <c r="C12" s="193"/>
      <c r="D12" s="193"/>
      <c r="E12" s="192"/>
    </row>
    <row r="13" spans="1:5" x14ac:dyDescent="0.35">
      <c r="A13" s="41">
        <v>46205</v>
      </c>
      <c r="B13" s="42" t="s">
        <v>77</v>
      </c>
      <c r="C13" s="28">
        <v>2</v>
      </c>
      <c r="D13" s="315">
        <v>9</v>
      </c>
      <c r="E13" s="42" t="s">
        <v>78</v>
      </c>
    </row>
    <row r="14" spans="1:5" x14ac:dyDescent="0.35">
      <c r="A14" s="41">
        <v>46205</v>
      </c>
      <c r="B14" s="42" t="s">
        <v>7</v>
      </c>
      <c r="C14" s="28">
        <v>3</v>
      </c>
      <c r="D14" s="315"/>
      <c r="E14" s="42" t="s">
        <v>79</v>
      </c>
    </row>
    <row r="15" spans="1:5" x14ac:dyDescent="0.35">
      <c r="A15" s="41">
        <v>46205</v>
      </c>
      <c r="B15" s="42" t="s">
        <v>80</v>
      </c>
      <c r="C15" s="28">
        <v>2</v>
      </c>
      <c r="D15" s="315"/>
      <c r="E15" s="42" t="s">
        <v>71</v>
      </c>
    </row>
    <row r="16" spans="1:5" x14ac:dyDescent="0.35">
      <c r="A16" s="41">
        <v>46205</v>
      </c>
      <c r="B16" s="45" t="s">
        <v>8</v>
      </c>
      <c r="C16" s="28">
        <v>2</v>
      </c>
      <c r="D16" s="315"/>
      <c r="E16" s="42" t="s">
        <v>71</v>
      </c>
    </row>
    <row r="17" spans="1:5" x14ac:dyDescent="0.35">
      <c r="A17" s="192"/>
      <c r="B17" s="192"/>
      <c r="C17" s="193"/>
      <c r="D17" s="193"/>
      <c r="E17" s="192"/>
    </row>
    <row r="18" spans="1:5" x14ac:dyDescent="0.35">
      <c r="A18" s="41">
        <v>46206</v>
      </c>
      <c r="B18" s="42" t="s">
        <v>81</v>
      </c>
      <c r="C18" s="28">
        <v>0.5</v>
      </c>
      <c r="D18" s="315">
        <v>9</v>
      </c>
      <c r="E18" s="42" t="s">
        <v>71</v>
      </c>
    </row>
    <row r="19" spans="1:5" x14ac:dyDescent="0.35">
      <c r="A19" s="41">
        <v>46206</v>
      </c>
      <c r="B19" s="42" t="s">
        <v>82</v>
      </c>
      <c r="C19" s="28">
        <v>0.5</v>
      </c>
      <c r="D19" s="315"/>
      <c r="E19" s="42" t="s">
        <v>71</v>
      </c>
    </row>
    <row r="20" spans="1:5" x14ac:dyDescent="0.35">
      <c r="A20" s="41">
        <v>46206</v>
      </c>
      <c r="B20" s="42" t="s">
        <v>83</v>
      </c>
      <c r="C20" s="28">
        <v>0.5</v>
      </c>
      <c r="D20" s="315"/>
      <c r="E20" s="42" t="s">
        <v>71</v>
      </c>
    </row>
    <row r="21" spans="1:5" x14ac:dyDescent="0.35">
      <c r="A21" s="41">
        <v>46206</v>
      </c>
      <c r="B21" s="42" t="s">
        <v>84</v>
      </c>
      <c r="C21" s="28">
        <v>0.5</v>
      </c>
      <c r="D21" s="315"/>
      <c r="E21" s="42" t="s">
        <v>71</v>
      </c>
    </row>
    <row r="22" spans="1:5" x14ac:dyDescent="0.35">
      <c r="A22" s="41">
        <v>46206</v>
      </c>
      <c r="B22" s="42" t="s">
        <v>85</v>
      </c>
      <c r="C22" s="28">
        <v>1</v>
      </c>
      <c r="D22" s="315"/>
      <c r="E22" s="42" t="s">
        <v>86</v>
      </c>
    </row>
    <row r="23" spans="1:5" x14ac:dyDescent="0.35">
      <c r="A23" s="41">
        <v>46206</v>
      </c>
      <c r="B23" s="42" t="s">
        <v>80</v>
      </c>
      <c r="C23" s="28">
        <v>2</v>
      </c>
      <c r="D23" s="315"/>
      <c r="E23" s="42" t="s">
        <v>87</v>
      </c>
    </row>
    <row r="24" spans="1:5" x14ac:dyDescent="0.35">
      <c r="A24" s="41">
        <v>46206</v>
      </c>
      <c r="B24" s="42" t="s">
        <v>88</v>
      </c>
      <c r="C24" s="28">
        <v>1</v>
      </c>
      <c r="D24" s="315"/>
      <c r="E24" s="42" t="s">
        <v>89</v>
      </c>
    </row>
    <row r="25" spans="1:5" x14ac:dyDescent="0.35">
      <c r="A25" s="41">
        <v>46206</v>
      </c>
      <c r="B25" s="42" t="s">
        <v>90</v>
      </c>
      <c r="C25" s="28">
        <v>1</v>
      </c>
      <c r="D25" s="315"/>
      <c r="E25" s="42" t="s">
        <v>91</v>
      </c>
    </row>
    <row r="26" spans="1:5" x14ac:dyDescent="0.35">
      <c r="A26" s="41">
        <v>46206</v>
      </c>
      <c r="B26" s="42" t="s">
        <v>92</v>
      </c>
      <c r="C26" s="28">
        <v>2</v>
      </c>
      <c r="D26" s="315"/>
      <c r="E26" s="42" t="s">
        <v>93</v>
      </c>
    </row>
    <row r="27" spans="1:5" x14ac:dyDescent="0.35">
      <c r="A27" s="192"/>
      <c r="B27" s="192"/>
      <c r="C27" s="194"/>
      <c r="D27" s="192"/>
      <c r="E27" s="192"/>
    </row>
    <row r="28" spans="1:5" x14ac:dyDescent="0.35">
      <c r="A28" s="41">
        <v>46209</v>
      </c>
      <c r="B28" s="42" t="s">
        <v>81</v>
      </c>
      <c r="C28" s="28">
        <v>0.5</v>
      </c>
      <c r="D28" s="321">
        <v>9</v>
      </c>
      <c r="E28" s="42" t="s">
        <v>71</v>
      </c>
    </row>
    <row r="29" spans="1:5" x14ac:dyDescent="0.35">
      <c r="A29" s="41">
        <v>46209</v>
      </c>
      <c r="B29" s="42" t="s">
        <v>82</v>
      </c>
      <c r="C29" s="28">
        <v>0.5</v>
      </c>
      <c r="D29" s="321"/>
      <c r="E29" s="42" t="s">
        <v>71</v>
      </c>
    </row>
    <row r="30" spans="1:5" x14ac:dyDescent="0.35">
      <c r="A30" s="41">
        <v>46209</v>
      </c>
      <c r="B30" s="42" t="s">
        <v>83</v>
      </c>
      <c r="C30" s="28">
        <v>0.5</v>
      </c>
      <c r="D30" s="321"/>
      <c r="E30" s="42" t="s">
        <v>71</v>
      </c>
    </row>
    <row r="31" spans="1:5" x14ac:dyDescent="0.35">
      <c r="A31" s="41">
        <v>46209</v>
      </c>
      <c r="B31" s="42" t="s">
        <v>84</v>
      </c>
      <c r="C31" s="28">
        <v>0.5</v>
      </c>
      <c r="D31" s="321"/>
      <c r="E31" s="42" t="s">
        <v>71</v>
      </c>
    </row>
    <row r="32" spans="1:5" x14ac:dyDescent="0.35">
      <c r="A32" s="41">
        <v>46209</v>
      </c>
      <c r="B32" s="42" t="s">
        <v>94</v>
      </c>
      <c r="C32" s="73">
        <v>3</v>
      </c>
      <c r="D32" s="321"/>
      <c r="E32" s="42" t="s">
        <v>95</v>
      </c>
    </row>
    <row r="33" spans="1:5" x14ac:dyDescent="0.35">
      <c r="A33" s="41">
        <v>46209</v>
      </c>
      <c r="B33" s="42" t="s">
        <v>96</v>
      </c>
      <c r="C33" s="73">
        <v>0.5</v>
      </c>
      <c r="D33" s="321"/>
      <c r="E33" s="42" t="s">
        <v>97</v>
      </c>
    </row>
    <row r="34" spans="1:5" x14ac:dyDescent="0.35">
      <c r="A34" s="41">
        <v>46209</v>
      </c>
      <c r="B34" s="42" t="s">
        <v>98</v>
      </c>
      <c r="C34" s="73">
        <v>1</v>
      </c>
      <c r="D34" s="321"/>
      <c r="E34" s="42" t="s">
        <v>99</v>
      </c>
    </row>
    <row r="35" spans="1:5" x14ac:dyDescent="0.35">
      <c r="A35" s="41">
        <v>46209</v>
      </c>
      <c r="B35" s="42" t="s">
        <v>100</v>
      </c>
      <c r="C35" s="73">
        <v>0.5</v>
      </c>
      <c r="D35" s="321"/>
      <c r="E35" s="42" t="s">
        <v>101</v>
      </c>
    </row>
    <row r="36" spans="1:5" x14ac:dyDescent="0.35">
      <c r="A36" s="41">
        <v>46209</v>
      </c>
      <c r="B36" s="42" t="s">
        <v>102</v>
      </c>
      <c r="C36" s="73">
        <v>1</v>
      </c>
      <c r="D36" s="321"/>
      <c r="E36" s="42" t="s">
        <v>103</v>
      </c>
    </row>
    <row r="37" spans="1:5" x14ac:dyDescent="0.35">
      <c r="A37" s="41">
        <v>46209</v>
      </c>
      <c r="B37" s="42" t="s">
        <v>104</v>
      </c>
      <c r="C37" s="73">
        <v>1</v>
      </c>
      <c r="D37" s="321"/>
      <c r="E37" s="42" t="s">
        <v>105</v>
      </c>
    </row>
    <row r="38" spans="1:5" x14ac:dyDescent="0.35">
      <c r="A38" s="192"/>
      <c r="B38" s="192"/>
      <c r="C38" s="194"/>
      <c r="D38" s="192"/>
      <c r="E38" s="192"/>
    </row>
    <row r="39" spans="1:5" x14ac:dyDescent="0.35">
      <c r="A39" s="41">
        <v>46210</v>
      </c>
      <c r="B39" s="42" t="s">
        <v>81</v>
      </c>
      <c r="C39" s="28">
        <v>0.5</v>
      </c>
      <c r="D39" s="321">
        <v>9</v>
      </c>
      <c r="E39" s="42" t="s">
        <v>71</v>
      </c>
    </row>
    <row r="40" spans="1:5" x14ac:dyDescent="0.35">
      <c r="A40" s="41">
        <v>46210</v>
      </c>
      <c r="B40" s="42" t="s">
        <v>82</v>
      </c>
      <c r="C40" s="28">
        <v>0.5</v>
      </c>
      <c r="D40" s="321"/>
      <c r="E40" s="42" t="s">
        <v>71</v>
      </c>
    </row>
    <row r="41" spans="1:5" x14ac:dyDescent="0.35">
      <c r="A41" s="41">
        <v>46210</v>
      </c>
      <c r="B41" s="42" t="s">
        <v>83</v>
      </c>
      <c r="C41" s="28">
        <v>0.5</v>
      </c>
      <c r="D41" s="321"/>
      <c r="E41" s="42" t="s">
        <v>71</v>
      </c>
    </row>
    <row r="42" spans="1:5" x14ac:dyDescent="0.35">
      <c r="A42" s="41">
        <v>46210</v>
      </c>
      <c r="B42" s="42" t="s">
        <v>84</v>
      </c>
      <c r="C42" s="28">
        <v>0.5</v>
      </c>
      <c r="D42" s="321"/>
      <c r="E42" s="42" t="s">
        <v>71</v>
      </c>
    </row>
    <row r="43" spans="1:5" x14ac:dyDescent="0.35">
      <c r="A43" s="41">
        <v>46210</v>
      </c>
      <c r="B43" s="42" t="s">
        <v>106</v>
      </c>
      <c r="C43" s="73">
        <v>1</v>
      </c>
      <c r="D43" s="321"/>
      <c r="E43" s="42" t="s">
        <v>71</v>
      </c>
    </row>
    <row r="44" spans="1:5" x14ac:dyDescent="0.35">
      <c r="A44" s="41">
        <v>46210</v>
      </c>
      <c r="B44" s="42" t="s">
        <v>107</v>
      </c>
      <c r="C44" s="73">
        <v>1.5</v>
      </c>
      <c r="D44" s="321"/>
      <c r="E44" s="42" t="s">
        <v>97</v>
      </c>
    </row>
    <row r="45" spans="1:5" x14ac:dyDescent="0.35">
      <c r="A45" s="41">
        <v>46210</v>
      </c>
      <c r="B45" s="42" t="s">
        <v>108</v>
      </c>
      <c r="C45" s="73">
        <v>1</v>
      </c>
      <c r="D45" s="321"/>
      <c r="E45" s="42" t="s">
        <v>109</v>
      </c>
    </row>
    <row r="46" spans="1:5" x14ac:dyDescent="0.35">
      <c r="A46" s="41">
        <v>46210</v>
      </c>
      <c r="B46" s="42" t="s">
        <v>110</v>
      </c>
      <c r="C46" s="73">
        <v>1</v>
      </c>
      <c r="D46" s="321"/>
      <c r="E46" s="42" t="s">
        <v>101</v>
      </c>
    </row>
    <row r="47" spans="1:5" x14ac:dyDescent="0.35">
      <c r="A47" s="41">
        <v>46210</v>
      </c>
      <c r="B47" s="42" t="s">
        <v>111</v>
      </c>
      <c r="C47" s="73">
        <v>0.5</v>
      </c>
      <c r="D47" s="321"/>
      <c r="E47" t="s">
        <v>112</v>
      </c>
    </row>
    <row r="48" spans="1:5" x14ac:dyDescent="0.35">
      <c r="A48" s="41">
        <v>46210</v>
      </c>
      <c r="B48" s="42" t="s">
        <v>113</v>
      </c>
      <c r="C48" s="73">
        <v>1</v>
      </c>
      <c r="D48" s="321"/>
      <c r="E48" s="42" t="s">
        <v>103</v>
      </c>
    </row>
    <row r="49" spans="1:5" x14ac:dyDescent="0.35">
      <c r="A49" s="192"/>
      <c r="B49" s="192"/>
      <c r="C49" s="194"/>
      <c r="D49" s="192"/>
      <c r="E49" s="192"/>
    </row>
    <row r="50" spans="1:5" x14ac:dyDescent="0.35">
      <c r="A50" s="41">
        <v>46211</v>
      </c>
      <c r="B50" s="42" t="s">
        <v>114</v>
      </c>
      <c r="C50" s="28">
        <v>2</v>
      </c>
      <c r="D50" s="321">
        <v>9</v>
      </c>
      <c r="E50" s="42" t="s">
        <v>115</v>
      </c>
    </row>
    <row r="51" spans="1:5" x14ac:dyDescent="0.35">
      <c r="A51" s="41">
        <v>46211</v>
      </c>
      <c r="B51" s="42" t="s">
        <v>116</v>
      </c>
      <c r="C51" s="28">
        <v>0.5</v>
      </c>
      <c r="D51" s="321"/>
      <c r="E51" s="42" t="s">
        <v>117</v>
      </c>
    </row>
    <row r="52" spans="1:5" x14ac:dyDescent="0.35">
      <c r="A52" s="41">
        <v>46211</v>
      </c>
      <c r="B52" s="42" t="s">
        <v>118</v>
      </c>
      <c r="C52" s="28">
        <v>1</v>
      </c>
      <c r="D52" s="321"/>
      <c r="E52" s="42" t="s">
        <v>119</v>
      </c>
    </row>
    <row r="53" spans="1:5" x14ac:dyDescent="0.35">
      <c r="A53" s="41">
        <v>46211</v>
      </c>
      <c r="B53" s="42" t="s">
        <v>120</v>
      </c>
      <c r="C53" s="28">
        <v>1</v>
      </c>
      <c r="D53" s="321"/>
      <c r="E53" s="42" t="s">
        <v>121</v>
      </c>
    </row>
    <row r="54" spans="1:5" x14ac:dyDescent="0.35">
      <c r="A54" s="41">
        <v>46211</v>
      </c>
      <c r="B54" s="42" t="s">
        <v>122</v>
      </c>
      <c r="C54" s="73">
        <v>1</v>
      </c>
      <c r="D54" s="321"/>
      <c r="E54" s="42" t="s">
        <v>123</v>
      </c>
    </row>
    <row r="55" spans="1:5" x14ac:dyDescent="0.35">
      <c r="A55" s="41">
        <v>46211</v>
      </c>
      <c r="B55" s="42" t="s">
        <v>124</v>
      </c>
      <c r="C55" s="73">
        <v>3</v>
      </c>
      <c r="D55" s="321"/>
      <c r="E55" s="195" t="s">
        <v>125</v>
      </c>
    </row>
    <row r="56" spans="1:5" x14ac:dyDescent="0.35">
      <c r="A56" s="41">
        <v>46211</v>
      </c>
      <c r="B56" s="42" t="s">
        <v>126</v>
      </c>
      <c r="C56" s="73">
        <v>0.5</v>
      </c>
      <c r="D56" s="321"/>
      <c r="E56" s="42"/>
    </row>
    <row r="57" spans="1:5" x14ac:dyDescent="0.35">
      <c r="A57" s="192"/>
      <c r="B57" s="192"/>
      <c r="C57" s="194"/>
      <c r="D57" s="192"/>
      <c r="E57" s="192"/>
    </row>
    <row r="58" spans="1:5" x14ac:dyDescent="0.35">
      <c r="A58" s="323">
        <v>46212</v>
      </c>
      <c r="B58" s="42" t="s">
        <v>114</v>
      </c>
      <c r="C58" s="28">
        <v>2</v>
      </c>
      <c r="D58" s="326">
        <v>8.5</v>
      </c>
      <c r="E58" t="s">
        <v>127</v>
      </c>
    </row>
    <row r="59" spans="1:5" ht="29" x14ac:dyDescent="0.35">
      <c r="A59" s="324"/>
      <c r="B59" s="100" t="s">
        <v>128</v>
      </c>
      <c r="C59" s="94">
        <v>1</v>
      </c>
      <c r="D59" s="318"/>
      <c r="E59" t="s">
        <v>129</v>
      </c>
    </row>
    <row r="60" spans="1:5" x14ac:dyDescent="0.35">
      <c r="A60" s="324"/>
      <c r="B60" t="s">
        <v>130</v>
      </c>
      <c r="C60" s="94">
        <v>1</v>
      </c>
      <c r="D60" s="318"/>
      <c r="E60" t="s">
        <v>131</v>
      </c>
    </row>
    <row r="61" spans="1:5" ht="29" x14ac:dyDescent="0.35">
      <c r="A61" s="324"/>
      <c r="B61" s="100" t="s">
        <v>132</v>
      </c>
      <c r="C61" s="94">
        <v>2</v>
      </c>
      <c r="D61" s="318"/>
      <c r="E61" t="s">
        <v>133</v>
      </c>
    </row>
    <row r="62" spans="1:5" x14ac:dyDescent="0.35">
      <c r="A62" s="324"/>
      <c r="B62" t="s">
        <v>134</v>
      </c>
      <c r="C62" s="94">
        <v>1</v>
      </c>
      <c r="D62" s="318"/>
    </row>
    <row r="63" spans="1:5" x14ac:dyDescent="0.35">
      <c r="A63" s="325"/>
      <c r="B63" t="s">
        <v>135</v>
      </c>
      <c r="C63" s="94">
        <v>0.5</v>
      </c>
      <c r="D63" s="318"/>
      <c r="E63" t="s">
        <v>136</v>
      </c>
    </row>
    <row r="65" spans="1:5" x14ac:dyDescent="0.35">
      <c r="A65" s="319">
        <v>46213</v>
      </c>
      <c r="B65" s="42" t="s">
        <v>114</v>
      </c>
      <c r="C65" s="28">
        <v>2</v>
      </c>
      <c r="D65" s="326">
        <v>9</v>
      </c>
    </row>
    <row r="66" spans="1:5" ht="29" x14ac:dyDescent="0.35">
      <c r="A66" s="320"/>
      <c r="B66" s="100" t="s">
        <v>128</v>
      </c>
      <c r="C66" s="94">
        <v>1</v>
      </c>
      <c r="D66" s="318"/>
      <c r="E66" t="s">
        <v>129</v>
      </c>
    </row>
    <row r="67" spans="1:5" x14ac:dyDescent="0.35">
      <c r="A67" s="320"/>
      <c r="B67" t="s">
        <v>130</v>
      </c>
      <c r="C67" s="94">
        <v>1</v>
      </c>
      <c r="D67" s="318"/>
      <c r="E67" t="s">
        <v>131</v>
      </c>
    </row>
    <row r="68" spans="1:5" ht="29" x14ac:dyDescent="0.35">
      <c r="A68" s="320"/>
      <c r="B68" s="100" t="s">
        <v>132</v>
      </c>
      <c r="C68" s="94">
        <v>2</v>
      </c>
      <c r="D68" s="318"/>
      <c r="E68" t="s">
        <v>133</v>
      </c>
    </row>
    <row r="69" spans="1:5" x14ac:dyDescent="0.35">
      <c r="A69" s="320"/>
      <c r="B69" t="s">
        <v>134</v>
      </c>
      <c r="C69" s="94">
        <v>1</v>
      </c>
      <c r="D69" s="318"/>
      <c r="E69" t="s">
        <v>137</v>
      </c>
    </row>
    <row r="70" spans="1:5" x14ac:dyDescent="0.35">
      <c r="A70" s="320"/>
      <c r="B70" t="s">
        <v>135</v>
      </c>
      <c r="C70" s="94">
        <v>0.5</v>
      </c>
      <c r="D70" s="318"/>
      <c r="E70" t="s">
        <v>136</v>
      </c>
    </row>
    <row r="71" spans="1:5" x14ac:dyDescent="0.35">
      <c r="A71" s="320"/>
      <c r="B71" t="s">
        <v>138</v>
      </c>
      <c r="C71" s="94">
        <v>0.5</v>
      </c>
      <c r="D71" s="318"/>
    </row>
    <row r="73" spans="1:5" x14ac:dyDescent="0.35">
      <c r="A73" s="319">
        <v>46216</v>
      </c>
      <c r="B73" t="s">
        <v>139</v>
      </c>
      <c r="C73" s="94">
        <v>4</v>
      </c>
      <c r="D73" s="318">
        <v>9</v>
      </c>
      <c r="E73" t="s">
        <v>1965</v>
      </c>
    </row>
    <row r="74" spans="1:5" x14ac:dyDescent="0.35">
      <c r="A74" s="320"/>
      <c r="B74" t="s">
        <v>140</v>
      </c>
      <c r="C74" s="94">
        <v>4</v>
      </c>
      <c r="D74" s="318"/>
      <c r="E74" t="s">
        <v>141</v>
      </c>
    </row>
    <row r="75" spans="1:5" x14ac:dyDescent="0.35">
      <c r="A75" s="320"/>
      <c r="B75" t="s">
        <v>138</v>
      </c>
      <c r="C75" s="94">
        <v>0.5</v>
      </c>
      <c r="D75" s="318"/>
      <c r="E75" s="318" t="s">
        <v>115</v>
      </c>
    </row>
    <row r="76" spans="1:5" x14ac:dyDescent="0.35">
      <c r="A76" s="320"/>
      <c r="B76" t="s">
        <v>115</v>
      </c>
      <c r="C76" s="94">
        <v>0.5</v>
      </c>
      <c r="D76" s="318"/>
      <c r="E76" s="318"/>
    </row>
    <row r="77" spans="1:5" x14ac:dyDescent="0.35">
      <c r="A77" s="105"/>
    </row>
    <row r="78" spans="1:5" x14ac:dyDescent="0.35">
      <c r="A78" s="319">
        <v>46217</v>
      </c>
      <c r="B78" t="s">
        <v>115</v>
      </c>
      <c r="C78" s="94">
        <v>2</v>
      </c>
      <c r="D78" s="318">
        <v>9</v>
      </c>
      <c r="E78" t="s">
        <v>115</v>
      </c>
    </row>
    <row r="79" spans="1:5" x14ac:dyDescent="0.35">
      <c r="A79" s="320"/>
      <c r="B79" t="s">
        <v>142</v>
      </c>
      <c r="C79" s="94">
        <v>1</v>
      </c>
      <c r="D79" s="318"/>
      <c r="E79" t="s">
        <v>143</v>
      </c>
    </row>
    <row r="80" spans="1:5" ht="29" x14ac:dyDescent="0.35">
      <c r="A80" s="320"/>
      <c r="B80" s="100" t="s">
        <v>144</v>
      </c>
      <c r="C80" s="94">
        <v>1</v>
      </c>
      <c r="D80" s="318"/>
      <c r="E80" t="s">
        <v>145</v>
      </c>
    </row>
    <row r="81" spans="1:5" x14ac:dyDescent="0.35">
      <c r="A81" s="320"/>
      <c r="B81" t="s">
        <v>146</v>
      </c>
      <c r="C81" s="94">
        <v>2</v>
      </c>
      <c r="D81" s="318"/>
      <c r="E81" t="s">
        <v>147</v>
      </c>
    </row>
    <row r="82" spans="1:5" x14ac:dyDescent="0.35">
      <c r="A82" s="320"/>
      <c r="B82" t="s">
        <v>148</v>
      </c>
      <c r="C82" s="94">
        <v>2</v>
      </c>
      <c r="D82" s="318"/>
      <c r="E82" t="s">
        <v>149</v>
      </c>
    </row>
    <row r="83" spans="1:5" x14ac:dyDescent="0.35">
      <c r="A83" s="320"/>
      <c r="B83" t="s">
        <v>150</v>
      </c>
      <c r="C83" s="94">
        <v>1</v>
      </c>
      <c r="D83" s="318"/>
      <c r="E83" t="s">
        <v>1966</v>
      </c>
    </row>
    <row r="85" spans="1:5" x14ac:dyDescent="0.35">
      <c r="A85" s="319">
        <v>46218</v>
      </c>
      <c r="B85" t="s">
        <v>115</v>
      </c>
      <c r="C85" s="94">
        <v>2</v>
      </c>
      <c r="D85" s="318">
        <v>9</v>
      </c>
      <c r="E85" t="s">
        <v>127</v>
      </c>
    </row>
    <row r="86" spans="1:5" x14ac:dyDescent="0.35">
      <c r="A86" s="320"/>
      <c r="B86" t="s">
        <v>151</v>
      </c>
      <c r="C86" s="94">
        <v>2</v>
      </c>
      <c r="D86" s="318"/>
      <c r="E86" t="s">
        <v>1970</v>
      </c>
    </row>
    <row r="87" spans="1:5" x14ac:dyDescent="0.35">
      <c r="A87" s="320"/>
      <c r="B87" s="100" t="s">
        <v>152</v>
      </c>
      <c r="C87" s="94">
        <v>1</v>
      </c>
      <c r="D87" s="318"/>
      <c r="E87" t="s">
        <v>1969</v>
      </c>
    </row>
    <row r="88" spans="1:5" x14ac:dyDescent="0.35">
      <c r="A88" s="320"/>
      <c r="B88" t="s">
        <v>153</v>
      </c>
      <c r="C88" s="94">
        <v>0.5</v>
      </c>
      <c r="D88" s="318"/>
      <c r="E88" t="s">
        <v>1967</v>
      </c>
    </row>
    <row r="89" spans="1:5" x14ac:dyDescent="0.35">
      <c r="A89" s="320"/>
      <c r="B89" t="s">
        <v>154</v>
      </c>
      <c r="C89" s="94">
        <v>2</v>
      </c>
      <c r="D89" s="318"/>
      <c r="E89" t="s">
        <v>1968</v>
      </c>
    </row>
    <row r="91" spans="1:5" x14ac:dyDescent="0.35">
      <c r="A91" s="319">
        <v>46219</v>
      </c>
      <c r="B91" t="s">
        <v>115</v>
      </c>
      <c r="C91" s="94">
        <v>2.5</v>
      </c>
      <c r="D91" s="318">
        <v>9</v>
      </c>
    </row>
    <row r="92" spans="1:5" x14ac:dyDescent="0.35">
      <c r="A92" s="320"/>
      <c r="B92" t="s">
        <v>151</v>
      </c>
      <c r="C92" s="94">
        <v>2</v>
      </c>
      <c r="D92" s="318"/>
    </row>
    <row r="93" spans="1:5" x14ac:dyDescent="0.35">
      <c r="A93" s="320"/>
      <c r="B93" s="100" t="s">
        <v>152</v>
      </c>
      <c r="C93" s="94">
        <v>2</v>
      </c>
      <c r="D93" s="318"/>
    </row>
    <row r="94" spans="1:5" x14ac:dyDescent="0.35">
      <c r="A94" s="320"/>
      <c r="B94" t="s">
        <v>153</v>
      </c>
      <c r="C94" s="94">
        <v>0.5</v>
      </c>
      <c r="D94" s="318"/>
    </row>
    <row r="95" spans="1:5" x14ac:dyDescent="0.35">
      <c r="A95" s="320"/>
      <c r="B95" t="s">
        <v>155</v>
      </c>
      <c r="C95" s="94">
        <v>2</v>
      </c>
      <c r="D95" s="318"/>
      <c r="E95" t="s">
        <v>103</v>
      </c>
    </row>
    <row r="97" spans="1:5" x14ac:dyDescent="0.35">
      <c r="A97" s="319">
        <v>46220</v>
      </c>
      <c r="B97" t="s">
        <v>115</v>
      </c>
      <c r="C97" s="94">
        <v>2</v>
      </c>
      <c r="D97" s="318">
        <v>9</v>
      </c>
    </row>
    <row r="98" spans="1:5" x14ac:dyDescent="0.35">
      <c r="A98" s="320"/>
      <c r="B98" t="s">
        <v>151</v>
      </c>
      <c r="C98" s="94">
        <v>2</v>
      </c>
      <c r="D98" s="318"/>
    </row>
    <row r="99" spans="1:5" x14ac:dyDescent="0.35">
      <c r="A99" s="320"/>
      <c r="B99" s="100" t="s">
        <v>152</v>
      </c>
      <c r="C99" s="94">
        <v>1</v>
      </c>
      <c r="D99" s="318"/>
    </row>
    <row r="100" spans="1:5" x14ac:dyDescent="0.35">
      <c r="A100" s="320"/>
      <c r="B100" t="s">
        <v>153</v>
      </c>
      <c r="C100" s="94">
        <v>1</v>
      </c>
      <c r="D100" s="318"/>
    </row>
    <row r="101" spans="1:5" x14ac:dyDescent="0.35">
      <c r="A101" s="320"/>
      <c r="B101" t="s">
        <v>154</v>
      </c>
      <c r="C101" s="94">
        <v>3</v>
      </c>
      <c r="D101" s="318"/>
    </row>
    <row r="103" spans="1:5" x14ac:dyDescent="0.35">
      <c r="A103" s="319">
        <v>46223</v>
      </c>
      <c r="B103" t="s">
        <v>115</v>
      </c>
      <c r="C103" s="94">
        <v>2</v>
      </c>
      <c r="D103" s="318">
        <v>8</v>
      </c>
    </row>
    <row r="104" spans="1:5" x14ac:dyDescent="0.35">
      <c r="A104" s="320"/>
      <c r="B104" t="s">
        <v>1653</v>
      </c>
      <c r="C104" s="94">
        <v>0.5</v>
      </c>
      <c r="D104" s="318"/>
      <c r="E104" t="s">
        <v>1654</v>
      </c>
    </row>
    <row r="105" spans="1:5" ht="29" x14ac:dyDescent="0.35">
      <c r="A105" s="320"/>
      <c r="B105" s="100" t="s">
        <v>1671</v>
      </c>
      <c r="C105" s="94">
        <v>4</v>
      </c>
      <c r="D105" s="318"/>
      <c r="E105" s="449" t="s">
        <v>1655</v>
      </c>
    </row>
    <row r="106" spans="1:5" x14ac:dyDescent="0.35">
      <c r="A106" s="320"/>
      <c r="B106" t="s">
        <v>142</v>
      </c>
      <c r="C106" s="94">
        <v>0.5</v>
      </c>
      <c r="D106" s="318"/>
    </row>
    <row r="107" spans="1:5" x14ac:dyDescent="0.35">
      <c r="A107" s="320"/>
      <c r="B107" t="s">
        <v>1656</v>
      </c>
      <c r="C107" s="94">
        <v>1</v>
      </c>
      <c r="D107" s="318"/>
      <c r="E107" t="s">
        <v>1657</v>
      </c>
    </row>
    <row r="110" spans="1:5" x14ac:dyDescent="0.35">
      <c r="A110" s="319">
        <v>46224</v>
      </c>
      <c r="B110" t="s">
        <v>114</v>
      </c>
      <c r="C110" s="94">
        <v>2</v>
      </c>
      <c r="D110" s="318">
        <v>9.5</v>
      </c>
      <c r="E110" t="s">
        <v>127</v>
      </c>
    </row>
    <row r="111" spans="1:5" x14ac:dyDescent="0.35">
      <c r="A111" s="320"/>
      <c r="B111" t="s">
        <v>1658</v>
      </c>
      <c r="C111" s="94">
        <v>3</v>
      </c>
      <c r="D111" s="318"/>
      <c r="E111" t="s">
        <v>1673</v>
      </c>
    </row>
    <row r="112" spans="1:5" x14ac:dyDescent="0.35">
      <c r="A112" s="320"/>
      <c r="B112" s="3" t="s">
        <v>156</v>
      </c>
      <c r="C112" s="94">
        <v>1</v>
      </c>
      <c r="D112" s="318"/>
      <c r="E112" t="s">
        <v>1674</v>
      </c>
    </row>
    <row r="113" spans="1:5" ht="29" x14ac:dyDescent="0.35">
      <c r="A113" s="320"/>
      <c r="B113" s="100" t="s">
        <v>1661</v>
      </c>
      <c r="C113" s="94">
        <v>2</v>
      </c>
      <c r="D113" s="318"/>
      <c r="E113" s="449" t="s">
        <v>1662</v>
      </c>
    </row>
    <row r="114" spans="1:5" x14ac:dyDescent="0.35">
      <c r="A114" s="320"/>
      <c r="B114" t="s">
        <v>158</v>
      </c>
      <c r="C114" s="94">
        <v>0.5</v>
      </c>
      <c r="D114" s="318"/>
      <c r="E114" t="s">
        <v>1672</v>
      </c>
    </row>
    <row r="115" spans="1:5" x14ac:dyDescent="0.35">
      <c r="B115" t="s">
        <v>1667</v>
      </c>
      <c r="C115" s="94">
        <v>1</v>
      </c>
      <c r="D115" s="318"/>
      <c r="E115" t="s">
        <v>1668</v>
      </c>
    </row>
    <row r="117" spans="1:5" x14ac:dyDescent="0.35">
      <c r="A117" s="319">
        <v>46225</v>
      </c>
      <c r="B117" t="s">
        <v>114</v>
      </c>
      <c r="C117" s="94">
        <v>2</v>
      </c>
      <c r="E117" t="s">
        <v>127</v>
      </c>
    </row>
    <row r="118" spans="1:5" x14ac:dyDescent="0.35">
      <c r="A118" s="320"/>
      <c r="B118" t="s">
        <v>1663</v>
      </c>
      <c r="C118" s="94">
        <v>3</v>
      </c>
      <c r="E118" t="s">
        <v>1666</v>
      </c>
    </row>
    <row r="119" spans="1:5" x14ac:dyDescent="0.35">
      <c r="A119" s="320"/>
      <c r="B119" s="3" t="s">
        <v>1664</v>
      </c>
      <c r="C119" s="94">
        <v>1</v>
      </c>
      <c r="E119" t="s">
        <v>1665</v>
      </c>
    </row>
    <row r="120" spans="1:5" x14ac:dyDescent="0.35">
      <c r="A120" s="320"/>
      <c r="B120" s="3" t="s">
        <v>704</v>
      </c>
      <c r="C120" s="94">
        <v>1</v>
      </c>
    </row>
    <row r="121" spans="1:5" x14ac:dyDescent="0.35">
      <c r="A121" s="320"/>
    </row>
    <row r="124" spans="1:5" x14ac:dyDescent="0.35">
      <c r="A124" s="319">
        <v>46226</v>
      </c>
      <c r="B124" t="s">
        <v>114</v>
      </c>
      <c r="C124" s="94">
        <v>2</v>
      </c>
    </row>
    <row r="125" spans="1:5" x14ac:dyDescent="0.35">
      <c r="A125" s="320"/>
      <c r="B125" t="s">
        <v>1660</v>
      </c>
      <c r="C125" s="94">
        <v>3</v>
      </c>
      <c r="E125" s="450" t="s">
        <v>1659</v>
      </c>
    </row>
    <row r="126" spans="1:5" x14ac:dyDescent="0.35">
      <c r="A126" s="320"/>
      <c r="B126" s="3" t="s">
        <v>156</v>
      </c>
      <c r="C126" s="94">
        <v>2</v>
      </c>
    </row>
    <row r="127" spans="1:5" x14ac:dyDescent="0.35">
      <c r="A127" s="320"/>
      <c r="B127" s="3" t="s">
        <v>157</v>
      </c>
    </row>
    <row r="128" spans="1:5" x14ac:dyDescent="0.35">
      <c r="A128" s="320"/>
      <c r="B128" t="s">
        <v>158</v>
      </c>
    </row>
    <row r="129" spans="1:5" x14ac:dyDescent="0.35">
      <c r="B129" t="s">
        <v>159</v>
      </c>
    </row>
    <row r="131" spans="1:5" x14ac:dyDescent="0.35">
      <c r="A131" s="319">
        <v>46227</v>
      </c>
      <c r="B131" t="s">
        <v>114</v>
      </c>
      <c r="C131" s="94">
        <v>2</v>
      </c>
    </row>
    <row r="132" spans="1:5" x14ac:dyDescent="0.35">
      <c r="A132" s="320"/>
      <c r="B132" s="3" t="s">
        <v>1669</v>
      </c>
      <c r="C132" s="94">
        <v>1</v>
      </c>
      <c r="E132" t="s">
        <v>1670</v>
      </c>
    </row>
    <row r="133" spans="1:5" x14ac:dyDescent="0.35">
      <c r="A133" s="320"/>
      <c r="B133" s="3" t="s">
        <v>156</v>
      </c>
    </row>
    <row r="134" spans="1:5" x14ac:dyDescent="0.35">
      <c r="A134" s="320"/>
      <c r="B134" s="3" t="s">
        <v>157</v>
      </c>
    </row>
    <row r="135" spans="1:5" x14ac:dyDescent="0.35">
      <c r="A135" s="320"/>
      <c r="B135" t="s">
        <v>158</v>
      </c>
    </row>
    <row r="136" spans="1:5" x14ac:dyDescent="0.35">
      <c r="B136" t="s">
        <v>159</v>
      </c>
    </row>
    <row r="139" spans="1:5" x14ac:dyDescent="0.35">
      <c r="A139" s="319">
        <v>46230</v>
      </c>
      <c r="B139" t="s">
        <v>114</v>
      </c>
    </row>
    <row r="140" spans="1:5" x14ac:dyDescent="0.35">
      <c r="A140" s="320"/>
      <c r="B140" t="s">
        <v>1652</v>
      </c>
    </row>
    <row r="141" spans="1:5" x14ac:dyDescent="0.35">
      <c r="A141" s="320"/>
      <c r="B141" s="3" t="s">
        <v>156</v>
      </c>
    </row>
    <row r="142" spans="1:5" x14ac:dyDescent="0.35">
      <c r="A142" s="320"/>
      <c r="B142" s="3" t="s">
        <v>157</v>
      </c>
    </row>
    <row r="143" spans="1:5" x14ac:dyDescent="0.35">
      <c r="A143" s="320"/>
      <c r="B143" t="s">
        <v>158</v>
      </c>
    </row>
    <row r="144" spans="1:5" x14ac:dyDescent="0.35">
      <c r="B144" t="s">
        <v>159</v>
      </c>
    </row>
    <row r="145" spans="1:3" x14ac:dyDescent="0.35">
      <c r="A145" s="319">
        <v>46231</v>
      </c>
    </row>
    <row r="146" spans="1:3" x14ac:dyDescent="0.35">
      <c r="A146" s="320"/>
    </row>
    <row r="147" spans="1:3" x14ac:dyDescent="0.35">
      <c r="A147" s="320"/>
      <c r="B147" t="s">
        <v>1868</v>
      </c>
    </row>
    <row r="148" spans="1:3" x14ac:dyDescent="0.35">
      <c r="A148" s="320"/>
      <c r="C148" s="94">
        <v>1</v>
      </c>
    </row>
    <row r="149" spans="1:3" x14ac:dyDescent="0.35">
      <c r="A149" s="320"/>
    </row>
    <row r="152" spans="1:3" x14ac:dyDescent="0.35">
      <c r="A152" s="319">
        <v>46232</v>
      </c>
      <c r="B152" t="s">
        <v>114</v>
      </c>
      <c r="C152" s="94">
        <v>2</v>
      </c>
    </row>
    <row r="153" spans="1:3" x14ac:dyDescent="0.35">
      <c r="A153" s="320"/>
      <c r="B153" t="s">
        <v>1874</v>
      </c>
      <c r="C153" s="94">
        <v>0.5</v>
      </c>
    </row>
    <row r="154" spans="1:3" x14ac:dyDescent="0.35">
      <c r="A154" s="320"/>
      <c r="B154" t="s">
        <v>1869</v>
      </c>
    </row>
    <row r="155" spans="1:3" x14ac:dyDescent="0.35">
      <c r="A155" s="320"/>
      <c r="B155" t="s">
        <v>1873</v>
      </c>
      <c r="C155" s="94">
        <v>1</v>
      </c>
    </row>
    <row r="156" spans="1:3" x14ac:dyDescent="0.35">
      <c r="A156" s="320"/>
      <c r="B156" t="s">
        <v>1872</v>
      </c>
      <c r="C156" s="94">
        <v>0.5</v>
      </c>
    </row>
    <row r="157" spans="1:3" x14ac:dyDescent="0.35">
      <c r="B157" t="s">
        <v>1875</v>
      </c>
      <c r="C157" s="94">
        <v>0.5</v>
      </c>
    </row>
    <row r="158" spans="1:3" x14ac:dyDescent="0.35">
      <c r="A158" s="319">
        <v>46233</v>
      </c>
    </row>
    <row r="159" spans="1:3" x14ac:dyDescent="0.35">
      <c r="A159" s="320"/>
    </row>
    <row r="160" spans="1:3" x14ac:dyDescent="0.35">
      <c r="A160" s="320"/>
      <c r="B160" t="s">
        <v>1870</v>
      </c>
    </row>
    <row r="161" spans="1:3" x14ac:dyDescent="0.35">
      <c r="A161" s="320"/>
      <c r="B161" t="s">
        <v>1871</v>
      </c>
      <c r="C161" s="94">
        <v>1</v>
      </c>
    </row>
    <row r="162" spans="1:3" x14ac:dyDescent="0.35">
      <c r="A162" s="320"/>
    </row>
    <row r="164" spans="1:3" x14ac:dyDescent="0.35">
      <c r="A164" s="319">
        <v>46234</v>
      </c>
    </row>
    <row r="165" spans="1:3" x14ac:dyDescent="0.35">
      <c r="A165" s="320"/>
    </row>
    <row r="166" spans="1:3" x14ac:dyDescent="0.35">
      <c r="A166" s="320"/>
      <c r="B166" t="s">
        <v>1870</v>
      </c>
    </row>
    <row r="167" spans="1:3" x14ac:dyDescent="0.35">
      <c r="A167" s="320"/>
    </row>
    <row r="168" spans="1:3" x14ac:dyDescent="0.35">
      <c r="A168" s="320"/>
    </row>
    <row r="170" spans="1:3" x14ac:dyDescent="0.35">
      <c r="A170" s="319">
        <v>46237</v>
      </c>
    </row>
    <row r="171" spans="1:3" x14ac:dyDescent="0.35">
      <c r="A171" s="320"/>
    </row>
    <row r="172" spans="1:3" x14ac:dyDescent="0.35">
      <c r="A172" s="320"/>
    </row>
    <row r="173" spans="1:3" x14ac:dyDescent="0.35">
      <c r="A173" s="320"/>
    </row>
    <row r="174" spans="1:3" x14ac:dyDescent="0.35">
      <c r="A174" s="320"/>
    </row>
  </sheetData>
  <mergeCells count="35">
    <mergeCell ref="A152:A156"/>
    <mergeCell ref="A158:A162"/>
    <mergeCell ref="A164:A168"/>
    <mergeCell ref="A170:A174"/>
    <mergeCell ref="D91:D95"/>
    <mergeCell ref="D97:D101"/>
    <mergeCell ref="D103:D107"/>
    <mergeCell ref="D110:D115"/>
    <mergeCell ref="A145:A149"/>
    <mergeCell ref="A110:A114"/>
    <mergeCell ref="A117:A121"/>
    <mergeCell ref="A124:A128"/>
    <mergeCell ref="A131:A135"/>
    <mergeCell ref="A139:A143"/>
    <mergeCell ref="A97:A101"/>
    <mergeCell ref="A103:A107"/>
    <mergeCell ref="D39:D48"/>
    <mergeCell ref="D50:D56"/>
    <mergeCell ref="D3:D5"/>
    <mergeCell ref="D8:D11"/>
    <mergeCell ref="D13:D16"/>
    <mergeCell ref="D18:D26"/>
    <mergeCell ref="D28:D37"/>
    <mergeCell ref="A58:A63"/>
    <mergeCell ref="D58:D63"/>
    <mergeCell ref="D65:D71"/>
    <mergeCell ref="A65:A71"/>
    <mergeCell ref="D73:D76"/>
    <mergeCell ref="A73:A76"/>
    <mergeCell ref="A91:A95"/>
    <mergeCell ref="E75:E76"/>
    <mergeCell ref="D78:D83"/>
    <mergeCell ref="A78:A83"/>
    <mergeCell ref="A85:A89"/>
    <mergeCell ref="D85:D89"/>
  </mergeCells>
  <hyperlinks>
    <hyperlink ref="E105" r:id="rId1" display="GPS-27523" xr:uid="{B71D1B83-9DC9-4F0F-A62D-6D6B0379BB5B}"/>
    <hyperlink ref="E113" r:id="rId2" display="https://beazley.atlassian.net/browse/GPS-27523" xr:uid="{CD9E226E-7CE9-484D-BA38-B59663E3DD96}"/>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15599-662E-4449-9085-E2E017CEA09A}">
  <dimension ref="A1:E100"/>
  <sheetViews>
    <sheetView tabSelected="1" topLeftCell="A50" workbookViewId="0">
      <selection activeCell="G64" sqref="G64"/>
    </sheetView>
  </sheetViews>
  <sheetFormatPr defaultColWidth="8.7265625" defaultRowHeight="14.5" x14ac:dyDescent="0.35"/>
  <cols>
    <col min="1" max="1" width="11.54296875" style="18" customWidth="1"/>
    <col min="2" max="2" width="45.26953125" style="18" customWidth="1"/>
    <col min="3" max="3" width="11.81640625" style="18" customWidth="1"/>
    <col min="4" max="4" width="16.26953125" style="18" customWidth="1"/>
    <col min="5" max="5" width="45" style="18" customWidth="1"/>
    <col min="6" max="16384" width="8.7265625" style="18"/>
  </cols>
  <sheetData>
    <row r="1" spans="1:5" ht="29" x14ac:dyDescent="0.35">
      <c r="A1" s="16" t="s">
        <v>0</v>
      </c>
      <c r="B1" s="16" t="s">
        <v>1</v>
      </c>
      <c r="C1" s="16" t="s">
        <v>2</v>
      </c>
      <c r="D1" s="16" t="s">
        <v>3</v>
      </c>
      <c r="E1" s="16" t="s">
        <v>4</v>
      </c>
    </row>
    <row r="2" spans="1:5" ht="29" x14ac:dyDescent="0.35">
      <c r="A2" s="19" t="s">
        <v>5</v>
      </c>
      <c r="B2" s="19"/>
      <c r="C2" s="19"/>
      <c r="D2" s="19"/>
      <c r="E2" s="19"/>
    </row>
    <row r="3" spans="1:5" x14ac:dyDescent="0.35">
      <c r="A3" s="20">
        <v>46204</v>
      </c>
      <c r="B3" s="21" t="s">
        <v>6</v>
      </c>
      <c r="C3" s="21">
        <v>2</v>
      </c>
      <c r="D3" s="345">
        <v>9</v>
      </c>
      <c r="E3" s="21"/>
    </row>
    <row r="4" spans="1:5" x14ac:dyDescent="0.35">
      <c r="A4" s="20">
        <v>46204</v>
      </c>
      <c r="B4" s="21" t="s">
        <v>7</v>
      </c>
      <c r="C4" s="21">
        <v>6</v>
      </c>
      <c r="D4" s="346"/>
      <c r="E4" s="21"/>
    </row>
    <row r="5" spans="1:5" x14ac:dyDescent="0.35">
      <c r="A5" s="20">
        <v>46204</v>
      </c>
      <c r="B5" s="21" t="s">
        <v>8</v>
      </c>
      <c r="C5" s="21">
        <v>1</v>
      </c>
      <c r="D5" s="347"/>
      <c r="E5" s="21"/>
    </row>
    <row r="6" spans="1:5" x14ac:dyDescent="0.35">
      <c r="A6" s="22"/>
      <c r="B6" s="22"/>
      <c r="C6" s="22"/>
      <c r="D6" s="22"/>
      <c r="E6" s="22"/>
    </row>
    <row r="7" spans="1:5" x14ac:dyDescent="0.35">
      <c r="A7" s="71" t="s">
        <v>9</v>
      </c>
      <c r="B7" s="37"/>
      <c r="C7" s="37"/>
      <c r="D7" s="37"/>
      <c r="E7" s="17"/>
    </row>
    <row r="8" spans="1:5" x14ac:dyDescent="0.35">
      <c r="A8" s="64" t="s">
        <v>160</v>
      </c>
      <c r="B8" s="65" t="s">
        <v>8</v>
      </c>
      <c r="C8" s="66">
        <v>1</v>
      </c>
      <c r="D8" s="348" t="s">
        <v>161</v>
      </c>
      <c r="E8" s="38"/>
    </row>
    <row r="9" spans="1:5" ht="101.5" x14ac:dyDescent="0.35">
      <c r="A9" s="67" t="s">
        <v>160</v>
      </c>
      <c r="B9" s="17" t="s">
        <v>162</v>
      </c>
      <c r="C9" s="68">
        <v>7</v>
      </c>
      <c r="D9" s="349"/>
      <c r="E9" s="38" t="s">
        <v>163</v>
      </c>
    </row>
    <row r="10" spans="1:5" ht="29" x14ac:dyDescent="0.35">
      <c r="A10" s="67" t="s">
        <v>160</v>
      </c>
      <c r="B10" s="17" t="s">
        <v>164</v>
      </c>
      <c r="C10" s="68">
        <v>1</v>
      </c>
      <c r="D10" s="349"/>
      <c r="E10" s="38" t="s">
        <v>165</v>
      </c>
    </row>
    <row r="11" spans="1:5" ht="29" x14ac:dyDescent="0.35">
      <c r="A11" s="67" t="s">
        <v>160</v>
      </c>
      <c r="B11" s="17" t="s">
        <v>166</v>
      </c>
      <c r="C11" s="68">
        <v>1</v>
      </c>
      <c r="D11" s="349"/>
      <c r="E11" s="38" t="s">
        <v>167</v>
      </c>
    </row>
    <row r="12" spans="1:5" ht="29" x14ac:dyDescent="0.35">
      <c r="A12" s="69" t="s">
        <v>160</v>
      </c>
      <c r="B12" s="60" t="s">
        <v>168</v>
      </c>
      <c r="C12" s="70">
        <v>1</v>
      </c>
      <c r="D12" s="350"/>
      <c r="E12" s="38" t="s">
        <v>169</v>
      </c>
    </row>
    <row r="13" spans="1:5" x14ac:dyDescent="0.35">
      <c r="A13" s="39"/>
      <c r="B13" s="39"/>
      <c r="C13" s="39"/>
      <c r="D13" s="39"/>
      <c r="E13" s="17"/>
    </row>
    <row r="14" spans="1:5" x14ac:dyDescent="0.35">
      <c r="A14" s="37"/>
      <c r="B14" s="37"/>
      <c r="C14" s="37"/>
      <c r="D14" s="37"/>
      <c r="E14" s="17"/>
    </row>
    <row r="15" spans="1:5" x14ac:dyDescent="0.35">
      <c r="A15" s="64" t="s">
        <v>170</v>
      </c>
      <c r="B15" s="65" t="s">
        <v>8</v>
      </c>
      <c r="C15" s="72">
        <v>1</v>
      </c>
      <c r="D15" s="351" t="s">
        <v>161</v>
      </c>
      <c r="E15" s="38"/>
    </row>
    <row r="16" spans="1:5" ht="43.5" x14ac:dyDescent="0.35">
      <c r="A16" s="67" t="s">
        <v>170</v>
      </c>
      <c r="B16" s="17" t="s">
        <v>171</v>
      </c>
      <c r="C16" s="62">
        <v>4</v>
      </c>
      <c r="D16" s="352"/>
      <c r="E16" s="38" t="s">
        <v>172</v>
      </c>
    </row>
    <row r="17" spans="1:5" ht="159.5" x14ac:dyDescent="0.35">
      <c r="A17" s="67" t="s">
        <v>170</v>
      </c>
      <c r="B17" s="17" t="s">
        <v>173</v>
      </c>
      <c r="C17" s="62">
        <v>4</v>
      </c>
      <c r="D17" s="352"/>
      <c r="E17" s="38" t="s">
        <v>174</v>
      </c>
    </row>
    <row r="18" spans="1:5" x14ac:dyDescent="0.35">
      <c r="A18" s="67" t="s">
        <v>170</v>
      </c>
      <c r="B18" s="17" t="s">
        <v>175</v>
      </c>
      <c r="C18" s="62">
        <v>1</v>
      </c>
      <c r="D18" s="352"/>
      <c r="E18" s="38" t="s">
        <v>176</v>
      </c>
    </row>
    <row r="19" spans="1:5" x14ac:dyDescent="0.35">
      <c r="A19" s="69" t="s">
        <v>170</v>
      </c>
      <c r="B19" s="60" t="s">
        <v>177</v>
      </c>
      <c r="C19" s="63">
        <v>1</v>
      </c>
      <c r="D19" s="353"/>
      <c r="E19" s="38" t="s">
        <v>178</v>
      </c>
    </row>
    <row r="20" spans="1:5" ht="15" thickBot="1" x14ac:dyDescent="0.4">
      <c r="A20" s="112"/>
      <c r="B20" s="113"/>
      <c r="C20" s="112"/>
      <c r="D20" s="114"/>
      <c r="E20" s="17"/>
    </row>
    <row r="21" spans="1:5" x14ac:dyDescent="0.35">
      <c r="A21" s="64" t="s">
        <v>179</v>
      </c>
      <c r="B21" s="144" t="s">
        <v>8</v>
      </c>
      <c r="C21" s="72">
        <v>1</v>
      </c>
      <c r="D21" s="351" t="s">
        <v>180</v>
      </c>
      <c r="E21" s="145"/>
    </row>
    <row r="22" spans="1:5" x14ac:dyDescent="0.35">
      <c r="A22" s="67" t="s">
        <v>179</v>
      </c>
      <c r="B22" s="38" t="s">
        <v>175</v>
      </c>
      <c r="C22" s="62">
        <v>1</v>
      </c>
      <c r="D22" s="352"/>
      <c r="E22" s="146" t="s">
        <v>181</v>
      </c>
    </row>
    <row r="23" spans="1:5" ht="43.5" x14ac:dyDescent="0.35">
      <c r="A23" s="67" t="s">
        <v>179</v>
      </c>
      <c r="B23" s="38" t="s">
        <v>182</v>
      </c>
      <c r="C23" s="62">
        <v>1</v>
      </c>
      <c r="D23" s="352"/>
      <c r="E23" s="146" t="s">
        <v>183</v>
      </c>
    </row>
    <row r="24" spans="1:5" ht="29" x14ac:dyDescent="0.35">
      <c r="A24" s="67" t="s">
        <v>179</v>
      </c>
      <c r="B24" s="38" t="s">
        <v>184</v>
      </c>
      <c r="C24" s="62">
        <v>5</v>
      </c>
      <c r="D24" s="352"/>
      <c r="E24" s="146" t="s">
        <v>185</v>
      </c>
    </row>
    <row r="25" spans="1:5" ht="29" x14ac:dyDescent="0.35">
      <c r="A25" s="115" t="s">
        <v>179</v>
      </c>
      <c r="B25" s="110" t="s">
        <v>186</v>
      </c>
      <c r="C25" s="118">
        <v>1</v>
      </c>
      <c r="D25" s="352"/>
      <c r="E25" s="147" t="s">
        <v>187</v>
      </c>
    </row>
    <row r="26" spans="1:5" x14ac:dyDescent="0.35">
      <c r="A26" s="115" t="s">
        <v>179</v>
      </c>
      <c r="B26" s="111" t="s">
        <v>188</v>
      </c>
      <c r="C26" s="119" t="s">
        <v>189</v>
      </c>
      <c r="D26" s="352"/>
      <c r="E26" s="142" t="s">
        <v>190</v>
      </c>
    </row>
    <row r="27" spans="1:5" ht="15" thickBot="1" x14ac:dyDescent="0.4">
      <c r="A27" s="69" t="s">
        <v>179</v>
      </c>
      <c r="B27" s="137" t="s">
        <v>191</v>
      </c>
      <c r="C27" s="120">
        <v>1</v>
      </c>
      <c r="D27" s="353"/>
      <c r="E27" s="143" t="s">
        <v>192</v>
      </c>
    </row>
    <row r="28" spans="1:5" ht="15" thickBot="1" x14ac:dyDescent="0.4"/>
    <row r="29" spans="1:5" x14ac:dyDescent="0.35">
      <c r="A29" s="131" t="s">
        <v>193</v>
      </c>
      <c r="B29" s="139" t="s">
        <v>8</v>
      </c>
      <c r="C29" s="140">
        <v>1</v>
      </c>
      <c r="D29" s="351" t="s">
        <v>161</v>
      </c>
      <c r="E29" s="141"/>
    </row>
    <row r="30" spans="1:5" ht="29" x14ac:dyDescent="0.35">
      <c r="A30" s="134" t="s">
        <v>193</v>
      </c>
      <c r="B30" s="111" t="s">
        <v>182</v>
      </c>
      <c r="C30" s="119">
        <v>1</v>
      </c>
      <c r="D30" s="352"/>
      <c r="E30" s="142" t="s">
        <v>194</v>
      </c>
    </row>
    <row r="31" spans="1:5" ht="29" x14ac:dyDescent="0.35">
      <c r="A31" s="134" t="s">
        <v>193</v>
      </c>
      <c r="B31" s="111" t="s">
        <v>195</v>
      </c>
      <c r="C31" s="119">
        <v>7</v>
      </c>
      <c r="D31" s="352"/>
      <c r="E31" s="142" t="s">
        <v>196</v>
      </c>
    </row>
    <row r="32" spans="1:5" ht="29.5" thickBot="1" x14ac:dyDescent="0.4">
      <c r="A32" s="116" t="s">
        <v>193</v>
      </c>
      <c r="B32" s="137" t="s">
        <v>197</v>
      </c>
      <c r="C32" s="120">
        <v>1</v>
      </c>
      <c r="D32" s="352"/>
      <c r="E32" s="143" t="s">
        <v>198</v>
      </c>
    </row>
    <row r="33" spans="1:5" ht="15" thickBot="1" x14ac:dyDescent="0.4"/>
    <row r="34" spans="1:5" x14ac:dyDescent="0.35">
      <c r="A34" s="131" t="s">
        <v>199</v>
      </c>
      <c r="B34" s="132" t="s">
        <v>8</v>
      </c>
      <c r="C34" s="140">
        <v>1</v>
      </c>
      <c r="D34" s="336">
        <v>9</v>
      </c>
      <c r="E34" s="141"/>
    </row>
    <row r="35" spans="1:5" ht="29" x14ac:dyDescent="0.35">
      <c r="A35" s="154" t="s">
        <v>200</v>
      </c>
      <c r="B35" s="93" t="s">
        <v>201</v>
      </c>
      <c r="C35" s="119">
        <v>1</v>
      </c>
      <c r="D35" s="337"/>
      <c r="E35" s="142" t="s">
        <v>202</v>
      </c>
    </row>
    <row r="36" spans="1:5" ht="72.5" x14ac:dyDescent="0.35">
      <c r="A36" s="154" t="s">
        <v>200</v>
      </c>
      <c r="B36" s="93" t="s">
        <v>203</v>
      </c>
      <c r="C36" s="119">
        <v>2</v>
      </c>
      <c r="D36" s="337"/>
      <c r="E36" s="142" t="s">
        <v>204</v>
      </c>
    </row>
    <row r="37" spans="1:5" ht="43.5" x14ac:dyDescent="0.35">
      <c r="A37" s="154" t="s">
        <v>200</v>
      </c>
      <c r="B37" s="93" t="s">
        <v>205</v>
      </c>
      <c r="C37" s="119">
        <v>2</v>
      </c>
      <c r="D37" s="337"/>
      <c r="E37" s="142" t="s">
        <v>206</v>
      </c>
    </row>
    <row r="38" spans="1:5" ht="29" x14ac:dyDescent="0.35">
      <c r="A38" s="154" t="s">
        <v>200</v>
      </c>
      <c r="B38" s="93" t="s">
        <v>207</v>
      </c>
      <c r="C38" s="119">
        <v>2</v>
      </c>
      <c r="D38" s="337"/>
      <c r="E38" s="142" t="s">
        <v>208</v>
      </c>
    </row>
    <row r="39" spans="1:5" ht="29.5" thickBot="1" x14ac:dyDescent="0.4">
      <c r="A39" s="155" t="s">
        <v>200</v>
      </c>
      <c r="B39" s="117" t="s">
        <v>209</v>
      </c>
      <c r="C39" s="120">
        <v>1</v>
      </c>
      <c r="D39" s="338"/>
      <c r="E39" s="143" t="s">
        <v>167</v>
      </c>
    </row>
    <row r="40" spans="1:5" ht="15" thickBot="1" x14ac:dyDescent="0.4"/>
    <row r="41" spans="1:5" x14ac:dyDescent="0.35">
      <c r="A41" s="131" t="s">
        <v>210</v>
      </c>
      <c r="B41" s="132" t="s">
        <v>8</v>
      </c>
      <c r="C41" s="140">
        <v>1</v>
      </c>
      <c r="D41" s="354" t="s">
        <v>161</v>
      </c>
      <c r="E41" s="124"/>
    </row>
    <row r="42" spans="1:5" ht="29" x14ac:dyDescent="0.35">
      <c r="A42" s="134" t="s">
        <v>210</v>
      </c>
      <c r="B42" s="93" t="s">
        <v>211</v>
      </c>
      <c r="C42" s="119">
        <v>4</v>
      </c>
      <c r="D42" s="355"/>
      <c r="E42" s="142" t="s">
        <v>212</v>
      </c>
    </row>
    <row r="43" spans="1:5" ht="43.5" x14ac:dyDescent="0.35">
      <c r="A43" s="134" t="s">
        <v>210</v>
      </c>
      <c r="B43" s="93" t="s">
        <v>213</v>
      </c>
      <c r="C43" s="119" t="s">
        <v>214</v>
      </c>
      <c r="D43" s="355"/>
      <c r="E43" s="142" t="s">
        <v>215</v>
      </c>
    </row>
    <row r="44" spans="1:5" x14ac:dyDescent="0.35">
      <c r="A44" s="134" t="s">
        <v>210</v>
      </c>
      <c r="B44" s="93" t="s">
        <v>216</v>
      </c>
      <c r="C44" s="119" t="s">
        <v>214</v>
      </c>
      <c r="D44" s="355"/>
      <c r="E44" s="142" t="s">
        <v>217</v>
      </c>
    </row>
    <row r="45" spans="1:5" ht="29" x14ac:dyDescent="0.35">
      <c r="A45" s="134" t="s">
        <v>210</v>
      </c>
      <c r="B45" s="93" t="s">
        <v>209</v>
      </c>
      <c r="C45" s="119">
        <v>3</v>
      </c>
      <c r="D45" s="355"/>
      <c r="E45" s="142" t="s">
        <v>218</v>
      </c>
    </row>
    <row r="46" spans="1:5" ht="73" thickBot="1" x14ac:dyDescent="0.4">
      <c r="A46" s="116" t="s">
        <v>210</v>
      </c>
      <c r="B46" s="117" t="s">
        <v>219</v>
      </c>
      <c r="C46" s="120">
        <v>1</v>
      </c>
      <c r="D46" s="356"/>
      <c r="E46" s="143"/>
    </row>
    <row r="47" spans="1:5" ht="29.5" thickBot="1" x14ac:dyDescent="0.4">
      <c r="A47" s="138" t="s">
        <v>220</v>
      </c>
    </row>
    <row r="48" spans="1:5" ht="15" thickBot="1" x14ac:dyDescent="0.4"/>
    <row r="49" spans="1:5" x14ac:dyDescent="0.35">
      <c r="A49" s="360" t="s">
        <v>221</v>
      </c>
      <c r="B49" s="132" t="s">
        <v>8</v>
      </c>
      <c r="C49" s="133">
        <v>1</v>
      </c>
      <c r="D49" s="357" t="s">
        <v>161</v>
      </c>
      <c r="E49" s="152"/>
    </row>
    <row r="50" spans="1:5" ht="29" x14ac:dyDescent="0.35">
      <c r="A50" s="361"/>
      <c r="B50" s="93" t="s">
        <v>222</v>
      </c>
      <c r="C50" s="135">
        <v>5</v>
      </c>
      <c r="D50" s="358"/>
      <c r="E50" s="207" t="s">
        <v>223</v>
      </c>
    </row>
    <row r="51" spans="1:5" ht="29" x14ac:dyDescent="0.35">
      <c r="A51" s="361"/>
      <c r="B51" s="93" t="s">
        <v>224</v>
      </c>
      <c r="C51" s="135">
        <v>1</v>
      </c>
      <c r="D51" s="358"/>
      <c r="E51" s="207" t="s">
        <v>225</v>
      </c>
    </row>
    <row r="52" spans="1:5" x14ac:dyDescent="0.35">
      <c r="A52" s="361"/>
      <c r="B52" s="93" t="s">
        <v>226</v>
      </c>
      <c r="C52" s="135">
        <v>3</v>
      </c>
      <c r="D52" s="358"/>
      <c r="E52" s="207" t="s">
        <v>227</v>
      </c>
    </row>
    <row r="53" spans="1:5" ht="29.5" thickBot="1" x14ac:dyDescent="0.4">
      <c r="A53" s="362"/>
      <c r="B53" s="117" t="s">
        <v>228</v>
      </c>
      <c r="C53" s="136">
        <v>1</v>
      </c>
      <c r="D53" s="359"/>
      <c r="E53" s="208" t="s">
        <v>229</v>
      </c>
    </row>
    <row r="55" spans="1:5" x14ac:dyDescent="0.35">
      <c r="A55" s="354" t="s">
        <v>230</v>
      </c>
      <c r="B55" s="212" t="s">
        <v>8</v>
      </c>
      <c r="C55" s="213">
        <v>1</v>
      </c>
      <c r="D55" s="357" t="s">
        <v>231</v>
      </c>
      <c r="E55" s="213"/>
    </row>
    <row r="56" spans="1:5" x14ac:dyDescent="0.35">
      <c r="A56" s="355"/>
      <c r="B56" s="214" t="s">
        <v>232</v>
      </c>
      <c r="C56" s="207">
        <v>3</v>
      </c>
      <c r="D56" s="358"/>
      <c r="E56" s="207" t="s">
        <v>233</v>
      </c>
    </row>
    <row r="57" spans="1:5" x14ac:dyDescent="0.35">
      <c r="A57" s="355"/>
      <c r="B57" s="214" t="s">
        <v>234</v>
      </c>
      <c r="C57" s="207">
        <v>1</v>
      </c>
      <c r="D57" s="358"/>
      <c r="E57" s="207"/>
    </row>
    <row r="58" spans="1:5" x14ac:dyDescent="0.35">
      <c r="A58" s="356"/>
      <c r="B58" s="215" t="s">
        <v>235</v>
      </c>
      <c r="C58" s="208">
        <v>4</v>
      </c>
      <c r="D58" s="359"/>
      <c r="E58" s="208" t="s">
        <v>236</v>
      </c>
    </row>
    <row r="59" spans="1:5" ht="15" thickBot="1" x14ac:dyDescent="0.4">
      <c r="A59" s="222"/>
    </row>
    <row r="60" spans="1:5" x14ac:dyDescent="0.35">
      <c r="A60" s="339" t="s">
        <v>237</v>
      </c>
      <c r="B60" s="139" t="s">
        <v>8</v>
      </c>
      <c r="C60" s="140">
        <v>1</v>
      </c>
      <c r="D60" s="336" t="s">
        <v>231</v>
      </c>
      <c r="E60" s="141"/>
    </row>
    <row r="61" spans="1:5" ht="29" x14ac:dyDescent="0.35">
      <c r="A61" s="340"/>
      <c r="B61" s="111" t="s">
        <v>238</v>
      </c>
      <c r="C61" s="119">
        <v>3</v>
      </c>
      <c r="D61" s="337"/>
      <c r="E61" s="142" t="s">
        <v>239</v>
      </c>
    </row>
    <row r="62" spans="1:5" x14ac:dyDescent="0.35">
      <c r="A62" s="340"/>
      <c r="B62" s="111" t="s">
        <v>240</v>
      </c>
      <c r="C62" s="119">
        <v>2</v>
      </c>
      <c r="D62" s="337"/>
      <c r="E62" s="142" t="s">
        <v>241</v>
      </c>
    </row>
    <row r="63" spans="1:5" x14ac:dyDescent="0.35">
      <c r="A63" s="340"/>
      <c r="B63" s="111" t="s">
        <v>242</v>
      </c>
      <c r="C63" s="119">
        <v>2</v>
      </c>
      <c r="D63" s="337"/>
      <c r="E63" s="142"/>
    </row>
    <row r="64" spans="1:5" ht="15" thickBot="1" x14ac:dyDescent="0.4">
      <c r="A64" s="341"/>
      <c r="B64" s="137" t="s">
        <v>243</v>
      </c>
      <c r="C64" s="120">
        <v>1</v>
      </c>
      <c r="D64" s="338"/>
      <c r="E64" s="143"/>
    </row>
    <row r="65" spans="1:5" ht="15" thickBot="1" x14ac:dyDescent="0.4"/>
    <row r="66" spans="1:5" x14ac:dyDescent="0.35">
      <c r="A66" s="339" t="s">
        <v>244</v>
      </c>
      <c r="B66" s="139" t="s">
        <v>8</v>
      </c>
      <c r="C66" s="140">
        <v>1</v>
      </c>
      <c r="D66" s="336" t="s">
        <v>231</v>
      </c>
      <c r="E66" s="141"/>
    </row>
    <row r="67" spans="1:5" ht="29" x14ac:dyDescent="0.35">
      <c r="A67" s="340"/>
      <c r="B67" s="111" t="s">
        <v>245</v>
      </c>
      <c r="C67" s="119">
        <v>1</v>
      </c>
      <c r="D67" s="337"/>
      <c r="E67" s="142" t="s">
        <v>246</v>
      </c>
    </row>
    <row r="68" spans="1:5" ht="29" x14ac:dyDescent="0.35">
      <c r="A68" s="340"/>
      <c r="B68" s="111" t="s">
        <v>247</v>
      </c>
      <c r="C68" s="119" t="s">
        <v>214</v>
      </c>
      <c r="D68" s="337"/>
      <c r="E68" s="142" t="s">
        <v>248</v>
      </c>
    </row>
    <row r="69" spans="1:5" ht="29" x14ac:dyDescent="0.35">
      <c r="A69" s="340"/>
      <c r="B69" s="111" t="s">
        <v>249</v>
      </c>
      <c r="C69" s="119">
        <v>5</v>
      </c>
      <c r="D69" s="337"/>
      <c r="E69" s="142" t="s">
        <v>250</v>
      </c>
    </row>
    <row r="70" spans="1:5" ht="29" x14ac:dyDescent="0.35">
      <c r="A70" s="340"/>
      <c r="B70" s="111" t="s">
        <v>251</v>
      </c>
      <c r="C70" s="119" t="s">
        <v>252</v>
      </c>
      <c r="D70" s="337"/>
      <c r="E70" s="142" t="s">
        <v>253</v>
      </c>
    </row>
    <row r="71" spans="1:5" ht="15" thickBot="1" x14ac:dyDescent="0.4">
      <c r="A71" s="341"/>
      <c r="B71" s="137" t="s">
        <v>254</v>
      </c>
      <c r="C71" s="120">
        <v>1</v>
      </c>
      <c r="D71" s="338"/>
      <c r="E71" s="143" t="s">
        <v>255</v>
      </c>
    </row>
    <row r="73" spans="1:5" ht="15" thickBot="1" x14ac:dyDescent="0.4"/>
    <row r="74" spans="1:5" x14ac:dyDescent="0.35">
      <c r="A74" s="342" t="s">
        <v>256</v>
      </c>
      <c r="B74" s="229" t="s">
        <v>8</v>
      </c>
      <c r="C74" s="213">
        <v>1</v>
      </c>
      <c r="D74" s="333" t="s">
        <v>161</v>
      </c>
      <c r="E74" s="111"/>
    </row>
    <row r="75" spans="1:5" ht="15" thickBot="1" x14ac:dyDescent="0.4">
      <c r="A75" s="343"/>
      <c r="B75" s="230" t="s">
        <v>257</v>
      </c>
      <c r="C75" s="207">
        <v>2</v>
      </c>
      <c r="D75" s="334"/>
      <c r="E75" s="228"/>
    </row>
    <row r="76" spans="1:5" x14ac:dyDescent="0.35">
      <c r="A76" s="343"/>
      <c r="B76" s="230" t="s">
        <v>258</v>
      </c>
      <c r="C76" s="207">
        <v>3</v>
      </c>
      <c r="D76" s="334"/>
      <c r="E76" s="141"/>
    </row>
    <row r="77" spans="1:5" x14ac:dyDescent="0.35">
      <c r="A77" s="343"/>
      <c r="B77" s="230" t="s">
        <v>259</v>
      </c>
      <c r="C77" s="207" t="s">
        <v>189</v>
      </c>
      <c r="D77" s="334"/>
      <c r="E77" s="142"/>
    </row>
    <row r="78" spans="1:5" x14ac:dyDescent="0.35">
      <c r="A78" s="343"/>
      <c r="B78" s="230" t="s">
        <v>260</v>
      </c>
      <c r="C78" s="207">
        <v>1</v>
      </c>
      <c r="D78" s="334"/>
      <c r="E78" s="142"/>
    </row>
    <row r="79" spans="1:5" ht="15" customHeight="1" x14ac:dyDescent="0.35">
      <c r="A79" s="343"/>
      <c r="B79" s="230" t="s">
        <v>261</v>
      </c>
      <c r="C79" s="207">
        <v>1</v>
      </c>
      <c r="D79" s="334"/>
      <c r="E79" s="142"/>
    </row>
    <row r="80" spans="1:5" x14ac:dyDescent="0.35">
      <c r="A80" s="343"/>
      <c r="B80" s="230" t="s">
        <v>262</v>
      </c>
      <c r="C80" s="207">
        <v>1</v>
      </c>
      <c r="D80" s="334"/>
      <c r="E80" s="142"/>
    </row>
    <row r="81" spans="1:5" ht="15" customHeight="1" thickBot="1" x14ac:dyDescent="0.4">
      <c r="A81" s="344"/>
      <c r="B81" s="231" t="s">
        <v>263</v>
      </c>
      <c r="C81" s="208">
        <v>1</v>
      </c>
      <c r="D81" s="335"/>
      <c r="E81" s="143"/>
    </row>
    <row r="83" spans="1:5" ht="15" thickBot="1" x14ac:dyDescent="0.4"/>
    <row r="84" spans="1:5" x14ac:dyDescent="0.35">
      <c r="A84" s="330" t="s">
        <v>264</v>
      </c>
      <c r="B84" s="131" t="s">
        <v>8</v>
      </c>
      <c r="C84" s="133">
        <v>1</v>
      </c>
      <c r="D84" s="327" t="s">
        <v>161</v>
      </c>
      <c r="E84" s="213"/>
    </row>
    <row r="85" spans="1:5" x14ac:dyDescent="0.35">
      <c r="A85" s="331"/>
      <c r="B85" s="134" t="s">
        <v>265</v>
      </c>
      <c r="C85" s="135">
        <v>2</v>
      </c>
      <c r="D85" s="328"/>
      <c r="E85" s="207"/>
    </row>
    <row r="86" spans="1:5" x14ac:dyDescent="0.35">
      <c r="A86" s="331"/>
      <c r="B86" s="134" t="s">
        <v>266</v>
      </c>
      <c r="C86" s="135">
        <v>5</v>
      </c>
      <c r="D86" s="328"/>
      <c r="E86" s="207" t="s">
        <v>267</v>
      </c>
    </row>
    <row r="87" spans="1:5" ht="15" customHeight="1" x14ac:dyDescent="0.35">
      <c r="A87" s="331"/>
      <c r="B87" s="134" t="s">
        <v>268</v>
      </c>
      <c r="C87" s="135">
        <v>1</v>
      </c>
      <c r="D87" s="328"/>
      <c r="E87" s="207"/>
    </row>
    <row r="88" spans="1:5" ht="15" thickBot="1" x14ac:dyDescent="0.4">
      <c r="A88" s="332"/>
      <c r="B88" s="116" t="s">
        <v>269</v>
      </c>
      <c r="C88" s="136">
        <v>1</v>
      </c>
      <c r="D88" s="329"/>
      <c r="E88" s="208" t="s">
        <v>270</v>
      </c>
    </row>
    <row r="89" spans="1:5" ht="15" thickBot="1" x14ac:dyDescent="0.4"/>
    <row r="90" spans="1:5" x14ac:dyDescent="0.35">
      <c r="A90" s="336" t="s">
        <v>271</v>
      </c>
      <c r="B90" s="241" t="s">
        <v>8</v>
      </c>
      <c r="C90" s="213">
        <v>1</v>
      </c>
      <c r="D90" s="333" t="s">
        <v>231</v>
      </c>
      <c r="E90" s="141"/>
    </row>
    <row r="91" spans="1:5" x14ac:dyDescent="0.35">
      <c r="A91" s="337"/>
      <c r="B91" s="214" t="s">
        <v>272</v>
      </c>
      <c r="C91" s="207">
        <v>2</v>
      </c>
      <c r="D91" s="334"/>
      <c r="E91" s="142"/>
    </row>
    <row r="92" spans="1:5" x14ac:dyDescent="0.35">
      <c r="A92" s="337"/>
      <c r="B92" s="214" t="s">
        <v>273</v>
      </c>
      <c r="C92" s="207">
        <v>1</v>
      </c>
      <c r="D92" s="334"/>
      <c r="E92" s="142"/>
    </row>
    <row r="93" spans="1:5" x14ac:dyDescent="0.35">
      <c r="A93" s="337"/>
      <c r="B93" s="214" t="s">
        <v>274</v>
      </c>
      <c r="C93" s="207">
        <v>1</v>
      </c>
      <c r="D93" s="334"/>
      <c r="E93" s="142"/>
    </row>
    <row r="94" spans="1:5" x14ac:dyDescent="0.35">
      <c r="A94" s="337"/>
      <c r="B94" s="214" t="s">
        <v>275</v>
      </c>
      <c r="C94" s="207">
        <v>1</v>
      </c>
      <c r="D94" s="334"/>
      <c r="E94" s="142"/>
    </row>
    <row r="95" spans="1:5" x14ac:dyDescent="0.35">
      <c r="A95" s="337"/>
      <c r="B95" s="214" t="s">
        <v>276</v>
      </c>
      <c r="C95" s="207">
        <v>1</v>
      </c>
      <c r="D95" s="334"/>
      <c r="E95" s="142"/>
    </row>
    <row r="96" spans="1:5" ht="15" thickBot="1" x14ac:dyDescent="0.4">
      <c r="A96" s="338"/>
      <c r="B96" s="215" t="s">
        <v>277</v>
      </c>
      <c r="C96" s="208">
        <v>2</v>
      </c>
      <c r="D96" s="335"/>
      <c r="E96" s="143"/>
    </row>
    <row r="99" spans="1:1" ht="43.5" x14ac:dyDescent="0.35">
      <c r="A99" s="18" t="s">
        <v>1952</v>
      </c>
    </row>
    <row r="100" spans="1:1" x14ac:dyDescent="0.35">
      <c r="A100" s="18" t="s">
        <v>1953</v>
      </c>
    </row>
  </sheetData>
  <mergeCells count="21">
    <mergeCell ref="A55:A58"/>
    <mergeCell ref="D55:D58"/>
    <mergeCell ref="D34:D39"/>
    <mergeCell ref="D41:D46"/>
    <mergeCell ref="D49:D53"/>
    <mergeCell ref="A49:A53"/>
    <mergeCell ref="D3:D5"/>
    <mergeCell ref="D8:D12"/>
    <mergeCell ref="D15:D19"/>
    <mergeCell ref="D21:D27"/>
    <mergeCell ref="D29:D32"/>
    <mergeCell ref="D84:D88"/>
    <mergeCell ref="A84:A88"/>
    <mergeCell ref="D90:D96"/>
    <mergeCell ref="A90:A96"/>
    <mergeCell ref="D60:D64"/>
    <mergeCell ref="D66:D71"/>
    <mergeCell ref="A60:A64"/>
    <mergeCell ref="A66:A71"/>
    <mergeCell ref="D74:D81"/>
    <mergeCell ref="A74:A8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E6732-8EB1-41E7-BE05-CA6E7400AD3D}">
  <dimension ref="A1:E104"/>
  <sheetViews>
    <sheetView topLeftCell="A90" workbookViewId="0">
      <selection activeCell="A65" sqref="A65:A68"/>
    </sheetView>
  </sheetViews>
  <sheetFormatPr defaultRowHeight="14.5" x14ac:dyDescent="0.35"/>
  <cols>
    <col min="1" max="1" width="16.1796875" customWidth="1"/>
    <col min="2" max="2" width="60" customWidth="1"/>
    <col min="3" max="3" width="11.81640625" customWidth="1"/>
    <col min="4" max="4" width="16.26953125" customWidth="1"/>
    <col min="5" max="5" width="98.453125" bestFit="1" customWidth="1"/>
  </cols>
  <sheetData>
    <row r="1" spans="1:5" ht="29" x14ac:dyDescent="0.35">
      <c r="A1" s="1" t="s">
        <v>0</v>
      </c>
      <c r="B1" s="1" t="s">
        <v>1</v>
      </c>
      <c r="C1" s="2" t="s">
        <v>2</v>
      </c>
      <c r="D1" s="2" t="s">
        <v>3</v>
      </c>
      <c r="E1" s="1" t="s">
        <v>4</v>
      </c>
    </row>
    <row r="2" spans="1:5" x14ac:dyDescent="0.35">
      <c r="A2" s="10" t="s">
        <v>5</v>
      </c>
      <c r="B2" s="10"/>
      <c r="C2" s="11"/>
      <c r="D2" s="11"/>
      <c r="E2" s="10"/>
    </row>
    <row r="3" spans="1:5" x14ac:dyDescent="0.35">
      <c r="A3" s="5">
        <v>46204</v>
      </c>
      <c r="B3" s="6" t="s">
        <v>6</v>
      </c>
      <c r="C3" s="7">
        <v>2</v>
      </c>
      <c r="D3" s="298">
        <v>9</v>
      </c>
      <c r="E3" s="6"/>
    </row>
    <row r="4" spans="1:5" x14ac:dyDescent="0.35">
      <c r="A4" s="5">
        <v>46204</v>
      </c>
      <c r="B4" s="6" t="s">
        <v>7</v>
      </c>
      <c r="C4" s="7">
        <v>6</v>
      </c>
      <c r="D4" s="298"/>
      <c r="E4" s="6"/>
    </row>
    <row r="5" spans="1:5" x14ac:dyDescent="0.35">
      <c r="A5" s="5">
        <v>46204</v>
      </c>
      <c r="B5" s="6" t="s">
        <v>8</v>
      </c>
      <c r="C5" s="7">
        <v>1</v>
      </c>
      <c r="D5" s="298"/>
      <c r="E5" s="6"/>
    </row>
    <row r="6" spans="1:5" x14ac:dyDescent="0.35">
      <c r="A6" s="12"/>
      <c r="B6" s="12"/>
      <c r="C6" s="13"/>
      <c r="D6" s="13"/>
      <c r="E6" s="12"/>
    </row>
    <row r="7" spans="1:5" x14ac:dyDescent="0.35">
      <c r="A7" s="9" t="s">
        <v>9</v>
      </c>
      <c r="B7" s="3"/>
      <c r="C7" s="4"/>
      <c r="D7" s="4"/>
      <c r="E7" s="3"/>
    </row>
    <row r="8" spans="1:5" x14ac:dyDescent="0.35">
      <c r="A8" s="5">
        <v>46204</v>
      </c>
      <c r="B8" s="3" t="s">
        <v>8</v>
      </c>
      <c r="C8" s="4">
        <v>1</v>
      </c>
      <c r="D8" s="301">
        <v>10</v>
      </c>
      <c r="E8" s="3" t="s">
        <v>278</v>
      </c>
    </row>
    <row r="9" spans="1:5" ht="43.5" x14ac:dyDescent="0.35">
      <c r="A9" s="5">
        <v>46204</v>
      </c>
      <c r="B9" s="17" t="s">
        <v>72</v>
      </c>
      <c r="C9" s="4">
        <v>7</v>
      </c>
      <c r="D9" s="301"/>
      <c r="E9" s="121" t="s">
        <v>279</v>
      </c>
    </row>
    <row r="10" spans="1:5" x14ac:dyDescent="0.35">
      <c r="A10" s="5">
        <v>46204</v>
      </c>
      <c r="B10" s="3" t="s">
        <v>280</v>
      </c>
      <c r="C10" s="4">
        <v>1</v>
      </c>
      <c r="D10" s="301"/>
      <c r="E10" s="3" t="s">
        <v>281</v>
      </c>
    </row>
    <row r="11" spans="1:5" x14ac:dyDescent="0.35">
      <c r="A11" s="5">
        <v>46204</v>
      </c>
      <c r="B11" s="3" t="s">
        <v>282</v>
      </c>
      <c r="C11" s="4">
        <v>1</v>
      </c>
      <c r="D11" s="4"/>
      <c r="E11" s="3" t="s">
        <v>283</v>
      </c>
    </row>
    <row r="12" spans="1:5" x14ac:dyDescent="0.35">
      <c r="A12" s="3"/>
      <c r="B12" s="3"/>
      <c r="C12" s="4"/>
      <c r="D12" s="25"/>
      <c r="E12" s="3"/>
    </row>
    <row r="13" spans="1:5" x14ac:dyDescent="0.35">
      <c r="A13" s="5">
        <v>46205</v>
      </c>
      <c r="B13" s="3" t="s">
        <v>8</v>
      </c>
      <c r="C13" s="4">
        <v>1</v>
      </c>
      <c r="D13" s="301">
        <v>9</v>
      </c>
      <c r="E13" s="3" t="s">
        <v>278</v>
      </c>
    </row>
    <row r="14" spans="1:5" x14ac:dyDescent="0.35">
      <c r="A14" s="5">
        <v>46205</v>
      </c>
      <c r="B14" s="3" t="s">
        <v>284</v>
      </c>
      <c r="C14" s="4">
        <v>5</v>
      </c>
      <c r="D14" s="301"/>
      <c r="E14" s="3" t="s">
        <v>285</v>
      </c>
    </row>
    <row r="15" spans="1:5" x14ac:dyDescent="0.35">
      <c r="A15" s="5">
        <v>46205</v>
      </c>
      <c r="B15" s="3" t="s">
        <v>286</v>
      </c>
      <c r="C15" s="4">
        <v>2</v>
      </c>
      <c r="D15" s="301"/>
      <c r="E15" s="3" t="s">
        <v>287</v>
      </c>
    </row>
    <row r="16" spans="1:5" x14ac:dyDescent="0.35">
      <c r="A16" s="5">
        <v>46205</v>
      </c>
      <c r="B16" s="3" t="s">
        <v>288</v>
      </c>
      <c r="C16" s="4">
        <v>1</v>
      </c>
      <c r="D16" s="301"/>
      <c r="E16" s="3" t="s">
        <v>289</v>
      </c>
    </row>
    <row r="17" spans="1:5" x14ac:dyDescent="0.35">
      <c r="A17" s="3"/>
      <c r="B17" s="3"/>
      <c r="C17" s="4"/>
      <c r="D17" s="4"/>
      <c r="E17" s="3"/>
    </row>
    <row r="18" spans="1:5" x14ac:dyDescent="0.35">
      <c r="A18" s="17" t="s">
        <v>179</v>
      </c>
      <c r="B18" s="65" t="s">
        <v>8</v>
      </c>
      <c r="C18" s="4">
        <v>2</v>
      </c>
      <c r="D18" s="301">
        <v>9</v>
      </c>
      <c r="E18" s="3" t="s">
        <v>290</v>
      </c>
    </row>
    <row r="19" spans="1:5" x14ac:dyDescent="0.35">
      <c r="A19" s="17" t="s">
        <v>179</v>
      </c>
      <c r="B19" s="17" t="s">
        <v>175</v>
      </c>
      <c r="C19" s="4">
        <v>2</v>
      </c>
      <c r="D19" s="301"/>
      <c r="E19" s="3" t="s">
        <v>291</v>
      </c>
    </row>
    <row r="20" spans="1:5" x14ac:dyDescent="0.35">
      <c r="A20" s="17" t="s">
        <v>179</v>
      </c>
      <c r="B20" s="17" t="s">
        <v>182</v>
      </c>
      <c r="C20" s="4">
        <v>3</v>
      </c>
      <c r="D20" s="301"/>
      <c r="E20" s="3" t="s">
        <v>292</v>
      </c>
    </row>
    <row r="21" spans="1:5" ht="14.5" customHeight="1" x14ac:dyDescent="0.35">
      <c r="A21" s="3" t="s">
        <v>179</v>
      </c>
      <c r="B21" s="3" t="s">
        <v>293</v>
      </c>
      <c r="C21" s="4">
        <v>1</v>
      </c>
      <c r="D21" s="301"/>
      <c r="E21" s="3" t="s">
        <v>294</v>
      </c>
    </row>
    <row r="22" spans="1:5" ht="14.5" customHeight="1" x14ac:dyDescent="0.35">
      <c r="A22" s="3" t="s">
        <v>179</v>
      </c>
      <c r="B22" s="3" t="s">
        <v>295</v>
      </c>
      <c r="C22" s="4">
        <v>0.5</v>
      </c>
      <c r="D22" s="301"/>
      <c r="E22" s="3" t="s">
        <v>296</v>
      </c>
    </row>
    <row r="23" spans="1:5" ht="14.5" customHeight="1" x14ac:dyDescent="0.35">
      <c r="A23" s="3" t="s">
        <v>179</v>
      </c>
      <c r="B23" s="3" t="s">
        <v>297</v>
      </c>
      <c r="C23" s="4">
        <v>0.5</v>
      </c>
      <c r="D23" s="301"/>
      <c r="E23" s="3" t="s">
        <v>298</v>
      </c>
    </row>
    <row r="24" spans="1:5" x14ac:dyDescent="0.35">
      <c r="A24" s="3"/>
      <c r="B24" s="3"/>
      <c r="C24" s="3"/>
      <c r="D24" s="3"/>
      <c r="E24" s="3"/>
    </row>
    <row r="26" spans="1:5" x14ac:dyDescent="0.35">
      <c r="A26" s="32" t="s">
        <v>193</v>
      </c>
      <c r="B26" s="42" t="s">
        <v>81</v>
      </c>
      <c r="C26" s="42">
        <v>0.5</v>
      </c>
      <c r="D26" s="312">
        <v>9</v>
      </c>
      <c r="E26" s="42" t="s">
        <v>71</v>
      </c>
    </row>
    <row r="27" spans="1:5" x14ac:dyDescent="0.35">
      <c r="A27" s="32" t="s">
        <v>193</v>
      </c>
      <c r="B27" s="42" t="s">
        <v>83</v>
      </c>
      <c r="C27" s="42">
        <v>0.5</v>
      </c>
      <c r="D27" s="312"/>
      <c r="E27" s="42" t="s">
        <v>71</v>
      </c>
    </row>
    <row r="28" spans="1:5" x14ac:dyDescent="0.35">
      <c r="A28" s="32" t="s">
        <v>193</v>
      </c>
      <c r="B28" s="42" t="s">
        <v>299</v>
      </c>
      <c r="C28" s="42">
        <v>4</v>
      </c>
      <c r="D28" s="312"/>
      <c r="E28" s="42" t="s">
        <v>300</v>
      </c>
    </row>
    <row r="29" spans="1:5" x14ac:dyDescent="0.35">
      <c r="A29" s="32" t="s">
        <v>193</v>
      </c>
      <c r="B29" s="42" t="s">
        <v>301</v>
      </c>
      <c r="C29" s="42">
        <v>1</v>
      </c>
      <c r="D29" s="312"/>
      <c r="E29" s="42" t="s">
        <v>302</v>
      </c>
    </row>
    <row r="30" spans="1:5" x14ac:dyDescent="0.35">
      <c r="A30" s="32" t="s">
        <v>193</v>
      </c>
      <c r="B30" s="42" t="s">
        <v>303</v>
      </c>
      <c r="C30" s="42">
        <v>1</v>
      </c>
      <c r="D30" s="312"/>
      <c r="E30" s="42" t="s">
        <v>304</v>
      </c>
    </row>
    <row r="31" spans="1:5" x14ac:dyDescent="0.35">
      <c r="A31" t="s">
        <v>193</v>
      </c>
      <c r="B31" s="42" t="s">
        <v>305</v>
      </c>
      <c r="C31" s="42">
        <v>1</v>
      </c>
      <c r="D31" s="312"/>
      <c r="E31" s="42" t="s">
        <v>306</v>
      </c>
    </row>
    <row r="32" spans="1:5" x14ac:dyDescent="0.35">
      <c r="A32" t="s">
        <v>193</v>
      </c>
      <c r="B32" s="42" t="s">
        <v>297</v>
      </c>
      <c r="C32" s="42">
        <v>0.5</v>
      </c>
      <c r="D32" s="312"/>
      <c r="E32" s="42"/>
    </row>
    <row r="33" spans="1:5" x14ac:dyDescent="0.35">
      <c r="A33" s="42" t="s">
        <v>193</v>
      </c>
      <c r="B33" s="42" t="s">
        <v>307</v>
      </c>
      <c r="C33" s="42">
        <v>1</v>
      </c>
      <c r="D33" s="312"/>
      <c r="E33" s="42"/>
    </row>
    <row r="35" spans="1:5" x14ac:dyDescent="0.35">
      <c r="A35" s="42" t="s">
        <v>200</v>
      </c>
      <c r="B35" s="42" t="s">
        <v>81</v>
      </c>
      <c r="C35" s="42">
        <v>0.5</v>
      </c>
      <c r="D35" s="312">
        <v>9</v>
      </c>
      <c r="E35" s="42" t="s">
        <v>71</v>
      </c>
    </row>
    <row r="36" spans="1:5" x14ac:dyDescent="0.35">
      <c r="A36" s="42" t="s">
        <v>200</v>
      </c>
      <c r="B36" s="42" t="s">
        <v>83</v>
      </c>
      <c r="C36" s="42">
        <v>0.5</v>
      </c>
      <c r="D36" s="312"/>
      <c r="E36" s="42" t="s">
        <v>71</v>
      </c>
    </row>
    <row r="37" spans="1:5" x14ac:dyDescent="0.35">
      <c r="A37" s="42" t="s">
        <v>200</v>
      </c>
      <c r="B37" s="42" t="s">
        <v>308</v>
      </c>
      <c r="C37" s="42">
        <v>2</v>
      </c>
      <c r="D37" s="312"/>
      <c r="E37" s="93" t="s">
        <v>309</v>
      </c>
    </row>
    <row r="38" spans="1:5" x14ac:dyDescent="0.35">
      <c r="A38" s="42" t="s">
        <v>200</v>
      </c>
      <c r="B38" s="42" t="s">
        <v>310</v>
      </c>
      <c r="C38" s="42">
        <v>1</v>
      </c>
      <c r="D38" s="312"/>
      <c r="E38" s="42"/>
    </row>
    <row r="39" spans="1:5" x14ac:dyDescent="0.35">
      <c r="A39" s="42" t="s">
        <v>200</v>
      </c>
      <c r="B39" s="42" t="s">
        <v>311</v>
      </c>
      <c r="C39" s="42">
        <v>2</v>
      </c>
      <c r="D39" s="312"/>
      <c r="E39" s="42" t="s">
        <v>312</v>
      </c>
    </row>
    <row r="40" spans="1:5" x14ac:dyDescent="0.35">
      <c r="A40" s="42" t="s">
        <v>200</v>
      </c>
      <c r="B40" s="42" t="s">
        <v>313</v>
      </c>
      <c r="C40" s="42">
        <v>2</v>
      </c>
      <c r="D40" s="312"/>
      <c r="E40" s="42" t="s">
        <v>314</v>
      </c>
    </row>
    <row r="41" spans="1:5" x14ac:dyDescent="0.35">
      <c r="A41" s="42" t="s">
        <v>200</v>
      </c>
      <c r="B41" s="42" t="s">
        <v>315</v>
      </c>
      <c r="C41" s="42">
        <v>1</v>
      </c>
      <c r="D41" s="312"/>
      <c r="E41" s="42" t="s">
        <v>71</v>
      </c>
    </row>
    <row r="43" spans="1:5" x14ac:dyDescent="0.35">
      <c r="A43" s="42" t="s">
        <v>210</v>
      </c>
      <c r="B43" s="42" t="s">
        <v>81</v>
      </c>
      <c r="C43" s="42">
        <v>0.5</v>
      </c>
      <c r="D43" s="312">
        <v>9</v>
      </c>
      <c r="E43" s="42" t="s">
        <v>71</v>
      </c>
    </row>
    <row r="44" spans="1:5" x14ac:dyDescent="0.35">
      <c r="A44" s="42" t="s">
        <v>210</v>
      </c>
      <c r="B44" s="42" t="s">
        <v>83</v>
      </c>
      <c r="C44" s="42">
        <v>0.5</v>
      </c>
      <c r="D44" s="312"/>
      <c r="E44" s="42" t="s">
        <v>71</v>
      </c>
    </row>
    <row r="45" spans="1:5" x14ac:dyDescent="0.35">
      <c r="A45" s="42" t="s">
        <v>210</v>
      </c>
      <c r="B45" s="42" t="s">
        <v>316</v>
      </c>
      <c r="C45" s="42">
        <v>2</v>
      </c>
      <c r="D45" s="313"/>
      <c r="E45" s="42" t="s">
        <v>312</v>
      </c>
    </row>
    <row r="46" spans="1:5" x14ac:dyDescent="0.35">
      <c r="A46" s="42" t="s">
        <v>210</v>
      </c>
      <c r="B46" s="42" t="s">
        <v>317</v>
      </c>
      <c r="C46" s="42">
        <v>2</v>
      </c>
      <c r="D46" s="312"/>
      <c r="E46" s="42" t="s">
        <v>318</v>
      </c>
    </row>
    <row r="47" spans="1:5" x14ac:dyDescent="0.35">
      <c r="A47" s="42" t="s">
        <v>210</v>
      </c>
      <c r="B47" s="42" t="s">
        <v>315</v>
      </c>
      <c r="C47" s="42">
        <v>1</v>
      </c>
      <c r="D47" s="312"/>
      <c r="E47" s="42" t="s">
        <v>71</v>
      </c>
    </row>
    <row r="48" spans="1:5" x14ac:dyDescent="0.35">
      <c r="A48" s="42" t="s">
        <v>210</v>
      </c>
      <c r="B48" s="42" t="s">
        <v>319</v>
      </c>
      <c r="C48" s="42">
        <v>1</v>
      </c>
      <c r="D48" s="312"/>
      <c r="E48" s="42" t="s">
        <v>320</v>
      </c>
    </row>
    <row r="49" spans="1:5" x14ac:dyDescent="0.35">
      <c r="A49" s="42" t="s">
        <v>210</v>
      </c>
      <c r="B49" s="42" t="s">
        <v>321</v>
      </c>
      <c r="C49" s="42">
        <v>0.5</v>
      </c>
      <c r="D49" s="312"/>
      <c r="E49" s="42" t="s">
        <v>322</v>
      </c>
    </row>
    <row r="50" spans="1:5" x14ac:dyDescent="0.35">
      <c r="A50" s="42" t="s">
        <v>210</v>
      </c>
      <c r="B50" s="42" t="s">
        <v>323</v>
      </c>
      <c r="C50" s="42">
        <v>0.5</v>
      </c>
      <c r="D50" s="312"/>
      <c r="E50" s="42" t="s">
        <v>324</v>
      </c>
    </row>
    <row r="53" spans="1:5" x14ac:dyDescent="0.35">
      <c r="A53" s="42"/>
      <c r="B53" s="42" t="s">
        <v>81</v>
      </c>
      <c r="C53" s="42">
        <v>0.5</v>
      </c>
      <c r="D53" s="312">
        <v>9</v>
      </c>
      <c r="E53" s="42" t="s">
        <v>71</v>
      </c>
    </row>
    <row r="54" spans="1:5" x14ac:dyDescent="0.35">
      <c r="A54" s="42" t="s">
        <v>325</v>
      </c>
      <c r="B54" s="42" t="s">
        <v>83</v>
      </c>
      <c r="C54" s="42">
        <v>0.5</v>
      </c>
      <c r="D54" s="312"/>
      <c r="E54" s="42" t="s">
        <v>71</v>
      </c>
    </row>
    <row r="55" spans="1:5" x14ac:dyDescent="0.35">
      <c r="A55" s="42" t="s">
        <v>325</v>
      </c>
      <c r="B55" s="42" t="s">
        <v>326</v>
      </c>
      <c r="C55" s="42">
        <v>2.5</v>
      </c>
      <c r="D55" s="312"/>
      <c r="E55" s="42" t="s">
        <v>327</v>
      </c>
    </row>
    <row r="56" spans="1:5" x14ac:dyDescent="0.35">
      <c r="A56" s="42" t="s">
        <v>325</v>
      </c>
      <c r="B56" s="42" t="s">
        <v>315</v>
      </c>
      <c r="C56" s="42">
        <v>1</v>
      </c>
      <c r="D56" s="312"/>
      <c r="E56" s="42" t="s">
        <v>71</v>
      </c>
    </row>
    <row r="57" spans="1:5" x14ac:dyDescent="0.35">
      <c r="A57" s="42" t="s">
        <v>325</v>
      </c>
      <c r="B57" s="42" t="s">
        <v>328</v>
      </c>
      <c r="C57" s="42">
        <v>2</v>
      </c>
      <c r="D57" s="312"/>
      <c r="E57" s="42" t="s">
        <v>320</v>
      </c>
    </row>
    <row r="58" spans="1:5" x14ac:dyDescent="0.35">
      <c r="A58" s="42" t="s">
        <v>325</v>
      </c>
      <c r="B58" s="42" t="s">
        <v>329</v>
      </c>
      <c r="C58" s="42">
        <v>1</v>
      </c>
      <c r="D58" s="312"/>
      <c r="E58" s="42" t="s">
        <v>322</v>
      </c>
    </row>
    <row r="59" spans="1:5" x14ac:dyDescent="0.35">
      <c r="A59" s="42" t="s">
        <v>325</v>
      </c>
      <c r="B59" s="42" t="s">
        <v>330</v>
      </c>
      <c r="C59" s="42">
        <v>0.5</v>
      </c>
      <c r="D59" s="312"/>
      <c r="E59" s="42" t="s">
        <v>331</v>
      </c>
    </row>
    <row r="61" spans="1:5" x14ac:dyDescent="0.35">
      <c r="A61" t="s">
        <v>332</v>
      </c>
    </row>
    <row r="63" spans="1:5" x14ac:dyDescent="0.35">
      <c r="A63" s="42"/>
      <c r="B63" s="42" t="s">
        <v>81</v>
      </c>
      <c r="C63" s="42">
        <v>0.5</v>
      </c>
      <c r="D63" s="312">
        <v>9</v>
      </c>
      <c r="E63" s="42" t="s">
        <v>71</v>
      </c>
    </row>
    <row r="64" spans="1:5" x14ac:dyDescent="0.35">
      <c r="A64" s="42" t="s">
        <v>333</v>
      </c>
      <c r="B64" s="42" t="s">
        <v>83</v>
      </c>
      <c r="C64" s="42">
        <v>0.5</v>
      </c>
      <c r="D64" s="312"/>
      <c r="E64" s="42" t="s">
        <v>71</v>
      </c>
    </row>
    <row r="65" spans="1:5" x14ac:dyDescent="0.35">
      <c r="A65" s="42" t="s">
        <v>333</v>
      </c>
      <c r="B65" s="42" t="s">
        <v>334</v>
      </c>
      <c r="C65" s="42">
        <v>3.5</v>
      </c>
      <c r="D65" s="312"/>
      <c r="E65" s="42" t="s">
        <v>327</v>
      </c>
    </row>
    <row r="66" spans="1:5" x14ac:dyDescent="0.35">
      <c r="A66" s="42" t="s">
        <v>333</v>
      </c>
      <c r="B66" s="42" t="s">
        <v>315</v>
      </c>
      <c r="C66" s="42">
        <v>1</v>
      </c>
      <c r="D66" s="312"/>
      <c r="E66" s="42" t="s">
        <v>71</v>
      </c>
    </row>
    <row r="67" spans="1:5" x14ac:dyDescent="0.35">
      <c r="A67" s="42" t="s">
        <v>333</v>
      </c>
      <c r="B67" s="42" t="s">
        <v>335</v>
      </c>
      <c r="C67" s="42">
        <v>1</v>
      </c>
      <c r="D67" s="312"/>
      <c r="E67" s="42" t="s">
        <v>322</v>
      </c>
    </row>
    <row r="68" spans="1:5" x14ac:dyDescent="0.35">
      <c r="A68" s="42" t="s">
        <v>333</v>
      </c>
      <c r="B68" s="42" t="s">
        <v>330</v>
      </c>
      <c r="C68" s="42">
        <v>0.5</v>
      </c>
      <c r="D68" s="312"/>
      <c r="E68" s="42" t="s">
        <v>331</v>
      </c>
    </row>
    <row r="70" spans="1:5" x14ac:dyDescent="0.35">
      <c r="A70" s="42"/>
      <c r="B70" s="42" t="s">
        <v>81</v>
      </c>
      <c r="C70" s="42">
        <v>0.5</v>
      </c>
      <c r="D70" s="363">
        <v>9</v>
      </c>
      <c r="E70" s="42" t="s">
        <v>71</v>
      </c>
    </row>
    <row r="71" spans="1:5" x14ac:dyDescent="0.35">
      <c r="A71" s="42" t="s">
        <v>336</v>
      </c>
      <c r="B71" s="42" t="s">
        <v>83</v>
      </c>
      <c r="C71" s="42">
        <v>0.5</v>
      </c>
      <c r="D71" s="364"/>
      <c r="E71" s="42" t="s">
        <v>71</v>
      </c>
    </row>
    <row r="72" spans="1:5" x14ac:dyDescent="0.35">
      <c r="A72" s="42" t="s">
        <v>336</v>
      </c>
      <c r="B72" s="42" t="s">
        <v>308</v>
      </c>
      <c r="C72" s="42">
        <v>1</v>
      </c>
      <c r="D72" s="364"/>
      <c r="E72" s="42" t="s">
        <v>327</v>
      </c>
    </row>
    <row r="73" spans="1:5" x14ac:dyDescent="0.35">
      <c r="A73" s="42" t="s">
        <v>336</v>
      </c>
      <c r="B73" s="42" t="s">
        <v>315</v>
      </c>
      <c r="C73" s="42">
        <v>1</v>
      </c>
      <c r="D73" s="364"/>
      <c r="E73" s="42" t="s">
        <v>71</v>
      </c>
    </row>
    <row r="74" spans="1:5" x14ac:dyDescent="0.35">
      <c r="A74" s="42" t="s">
        <v>336</v>
      </c>
      <c r="B74" s="42" t="s">
        <v>335</v>
      </c>
      <c r="C74" s="42">
        <v>1</v>
      </c>
      <c r="D74" s="364"/>
      <c r="E74" s="42" t="s">
        <v>322</v>
      </c>
    </row>
    <row r="75" spans="1:5" x14ac:dyDescent="0.35">
      <c r="A75" s="42" t="s">
        <v>336</v>
      </c>
      <c r="B75" s="42" t="s">
        <v>330</v>
      </c>
      <c r="C75" s="42">
        <v>0.5</v>
      </c>
      <c r="D75" s="364"/>
      <c r="E75" s="42" t="s">
        <v>331</v>
      </c>
    </row>
    <row r="76" spans="1:5" x14ac:dyDescent="0.35">
      <c r="A76" s="42" t="s">
        <v>336</v>
      </c>
      <c r="B76" t="s">
        <v>337</v>
      </c>
      <c r="C76">
        <v>2</v>
      </c>
      <c r="D76" s="364"/>
      <c r="E76" t="s">
        <v>338</v>
      </c>
    </row>
    <row r="77" spans="1:5" x14ac:dyDescent="0.35">
      <c r="A77" s="42" t="s">
        <v>336</v>
      </c>
      <c r="B77" t="s">
        <v>339</v>
      </c>
      <c r="C77">
        <v>2.5</v>
      </c>
      <c r="D77" s="364"/>
      <c r="E77" t="s">
        <v>340</v>
      </c>
    </row>
    <row r="80" spans="1:5" x14ac:dyDescent="0.35">
      <c r="A80" s="42"/>
      <c r="B80" s="42" t="s">
        <v>81</v>
      </c>
      <c r="C80" s="42">
        <v>0.5</v>
      </c>
      <c r="D80" s="363">
        <v>9</v>
      </c>
      <c r="E80" s="42" t="s">
        <v>71</v>
      </c>
    </row>
    <row r="81" spans="1:5" x14ac:dyDescent="0.35">
      <c r="A81" s="42" t="s">
        <v>341</v>
      </c>
      <c r="B81" s="42" t="s">
        <v>83</v>
      </c>
      <c r="C81" s="42">
        <v>0.5</v>
      </c>
      <c r="D81" s="364"/>
      <c r="E81" s="42" t="s">
        <v>71</v>
      </c>
    </row>
    <row r="82" spans="1:5" x14ac:dyDescent="0.35">
      <c r="A82" s="42" t="s">
        <v>341</v>
      </c>
      <c r="B82" s="42" t="s">
        <v>308</v>
      </c>
      <c r="C82" s="42">
        <v>1</v>
      </c>
      <c r="D82" s="364"/>
      <c r="E82" s="42" t="s">
        <v>327</v>
      </c>
    </row>
    <row r="83" spans="1:5" x14ac:dyDescent="0.35">
      <c r="A83" s="42" t="s">
        <v>341</v>
      </c>
      <c r="B83" s="42" t="s">
        <v>315</v>
      </c>
      <c r="C83" s="42">
        <v>1</v>
      </c>
      <c r="D83" s="364"/>
      <c r="E83" s="42" t="s">
        <v>71</v>
      </c>
    </row>
    <row r="84" spans="1:5" x14ac:dyDescent="0.35">
      <c r="A84" s="42" t="s">
        <v>341</v>
      </c>
      <c r="B84" s="42" t="s">
        <v>335</v>
      </c>
      <c r="C84" s="42">
        <v>1</v>
      </c>
      <c r="D84" s="364"/>
      <c r="E84" s="42" t="s">
        <v>322</v>
      </c>
    </row>
    <row r="85" spans="1:5" x14ac:dyDescent="0.35">
      <c r="A85" s="42" t="s">
        <v>341</v>
      </c>
      <c r="B85" s="42" t="s">
        <v>342</v>
      </c>
      <c r="C85" s="42">
        <v>0.5</v>
      </c>
      <c r="D85" s="364"/>
      <c r="E85" s="42" t="s">
        <v>331</v>
      </c>
    </row>
    <row r="86" spans="1:5" x14ac:dyDescent="0.35">
      <c r="A86" s="42" t="s">
        <v>341</v>
      </c>
      <c r="B86" t="s">
        <v>337</v>
      </c>
      <c r="C86">
        <v>2</v>
      </c>
      <c r="D86" s="364"/>
      <c r="E86" t="s">
        <v>338</v>
      </c>
    </row>
    <row r="87" spans="1:5" x14ac:dyDescent="0.35">
      <c r="A87" s="42" t="s">
        <v>341</v>
      </c>
      <c r="B87" t="s">
        <v>339</v>
      </c>
      <c r="C87">
        <v>2.5</v>
      </c>
      <c r="D87" s="364"/>
      <c r="E87" t="s">
        <v>340</v>
      </c>
    </row>
    <row r="89" spans="1:5" x14ac:dyDescent="0.35">
      <c r="A89" s="42"/>
      <c r="B89" s="42" t="s">
        <v>81</v>
      </c>
      <c r="C89" s="42">
        <v>0.5</v>
      </c>
      <c r="D89" s="363">
        <v>9</v>
      </c>
      <c r="E89" s="42" t="s">
        <v>71</v>
      </c>
    </row>
    <row r="90" spans="1:5" x14ac:dyDescent="0.35">
      <c r="A90" s="42" t="s">
        <v>343</v>
      </c>
      <c r="B90" s="42" t="s">
        <v>83</v>
      </c>
      <c r="C90" s="42">
        <v>0.5</v>
      </c>
      <c r="D90" s="364"/>
      <c r="E90" s="42" t="s">
        <v>71</v>
      </c>
    </row>
    <row r="91" spans="1:5" x14ac:dyDescent="0.35">
      <c r="A91" s="42" t="s">
        <v>343</v>
      </c>
      <c r="B91" s="42" t="s">
        <v>308</v>
      </c>
      <c r="C91" s="42">
        <v>1</v>
      </c>
      <c r="D91" s="364"/>
      <c r="E91" s="42" t="s">
        <v>327</v>
      </c>
    </row>
    <row r="92" spans="1:5" x14ac:dyDescent="0.35">
      <c r="A92" s="42" t="s">
        <v>343</v>
      </c>
      <c r="B92" s="42" t="s">
        <v>315</v>
      </c>
      <c r="C92" s="42">
        <v>1</v>
      </c>
      <c r="D92" s="364"/>
      <c r="E92" s="42" t="s">
        <v>71</v>
      </c>
    </row>
    <row r="93" spans="1:5" x14ac:dyDescent="0.35">
      <c r="A93" s="42" t="s">
        <v>343</v>
      </c>
      <c r="B93" s="42" t="s">
        <v>335</v>
      </c>
      <c r="C93" s="42">
        <v>1</v>
      </c>
      <c r="D93" s="364"/>
      <c r="E93" s="42" t="s">
        <v>322</v>
      </c>
    </row>
    <row r="94" spans="1:5" x14ac:dyDescent="0.35">
      <c r="A94" s="42" t="s">
        <v>343</v>
      </c>
      <c r="B94" s="42" t="s">
        <v>344</v>
      </c>
      <c r="C94" s="42">
        <v>2</v>
      </c>
      <c r="D94" s="364"/>
      <c r="E94" s="42"/>
    </row>
    <row r="95" spans="1:5" x14ac:dyDescent="0.35">
      <c r="A95" s="42" t="s">
        <v>343</v>
      </c>
      <c r="B95" t="s">
        <v>337</v>
      </c>
      <c r="C95">
        <v>2.5</v>
      </c>
      <c r="D95" s="364"/>
      <c r="E95" t="s">
        <v>340</v>
      </c>
    </row>
    <row r="98" spans="1:5" x14ac:dyDescent="0.35">
      <c r="A98" s="42"/>
      <c r="B98" s="42" t="s">
        <v>81</v>
      </c>
      <c r="C98" s="42">
        <v>0.5</v>
      </c>
      <c r="D98" s="363">
        <v>9</v>
      </c>
      <c r="E98" s="42" t="s">
        <v>71</v>
      </c>
    </row>
    <row r="99" spans="1:5" x14ac:dyDescent="0.35">
      <c r="A99" s="42" t="s">
        <v>345</v>
      </c>
      <c r="B99" s="42" t="s">
        <v>83</v>
      </c>
      <c r="C99" s="42">
        <v>0.5</v>
      </c>
      <c r="D99" s="364"/>
      <c r="E99" s="42" t="s">
        <v>71</v>
      </c>
    </row>
    <row r="100" spans="1:5" x14ac:dyDescent="0.35">
      <c r="A100" s="42" t="s">
        <v>345</v>
      </c>
      <c r="B100" s="42" t="s">
        <v>308</v>
      </c>
      <c r="C100" s="42">
        <v>1</v>
      </c>
      <c r="D100" s="364"/>
      <c r="E100" s="42" t="s">
        <v>327</v>
      </c>
    </row>
    <row r="101" spans="1:5" x14ac:dyDescent="0.35">
      <c r="A101" s="42" t="s">
        <v>345</v>
      </c>
      <c r="B101" s="42" t="s">
        <v>315</v>
      </c>
      <c r="C101" s="42">
        <v>1</v>
      </c>
      <c r="D101" s="364"/>
      <c r="E101" s="42" t="s">
        <v>71</v>
      </c>
    </row>
    <row r="102" spans="1:5" x14ac:dyDescent="0.35">
      <c r="A102" s="42" t="s">
        <v>345</v>
      </c>
      <c r="B102" s="42" t="s">
        <v>335</v>
      </c>
      <c r="C102" s="42">
        <v>1</v>
      </c>
      <c r="D102" s="364"/>
      <c r="E102" s="42" t="s">
        <v>322</v>
      </c>
    </row>
    <row r="103" spans="1:5" x14ac:dyDescent="0.35">
      <c r="A103" s="42" t="s">
        <v>345</v>
      </c>
      <c r="B103" s="42" t="s">
        <v>344</v>
      </c>
      <c r="C103" s="42">
        <v>2</v>
      </c>
      <c r="D103" s="364"/>
      <c r="E103" s="42"/>
    </row>
    <row r="104" spans="1:5" x14ac:dyDescent="0.35">
      <c r="A104" s="42" t="s">
        <v>345</v>
      </c>
      <c r="C104">
        <v>2.5</v>
      </c>
      <c r="D104" s="364"/>
      <c r="E104" t="s">
        <v>340</v>
      </c>
    </row>
  </sheetData>
  <mergeCells count="13">
    <mergeCell ref="D35:D41"/>
    <mergeCell ref="D43:D50"/>
    <mergeCell ref="D53:D59"/>
    <mergeCell ref="D3:D5"/>
    <mergeCell ref="D8:D10"/>
    <mergeCell ref="D13:D16"/>
    <mergeCell ref="D18:D23"/>
    <mergeCell ref="D26:D33"/>
    <mergeCell ref="D70:D77"/>
    <mergeCell ref="D80:D87"/>
    <mergeCell ref="D89:D95"/>
    <mergeCell ref="D98:D104"/>
    <mergeCell ref="D63:D68"/>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71378-A736-467D-A939-41CB880992C4}">
  <dimension ref="A1:F241"/>
  <sheetViews>
    <sheetView topLeftCell="A222" workbookViewId="0">
      <selection activeCell="D228" sqref="D228:D233"/>
    </sheetView>
  </sheetViews>
  <sheetFormatPr defaultRowHeight="14.5" x14ac:dyDescent="0.35"/>
  <cols>
    <col min="1" max="1" width="15.81640625" customWidth="1"/>
    <col min="2" max="2" width="92.26953125" customWidth="1"/>
    <col min="3" max="3" width="11.81640625" customWidth="1"/>
    <col min="4" max="4" width="16.453125" customWidth="1"/>
    <col min="5" max="5" width="119.54296875" customWidth="1"/>
    <col min="6" max="6" width="45" customWidth="1"/>
  </cols>
  <sheetData>
    <row r="1" spans="1:6" ht="29" x14ac:dyDescent="0.35">
      <c r="A1" s="1" t="s">
        <v>0</v>
      </c>
      <c r="B1" s="1" t="s">
        <v>1</v>
      </c>
      <c r="C1" s="2" t="s">
        <v>2</v>
      </c>
      <c r="D1" s="2" t="s">
        <v>3</v>
      </c>
      <c r="E1" s="1" t="s">
        <v>4</v>
      </c>
      <c r="F1" s="75"/>
    </row>
    <row r="2" spans="1:6" x14ac:dyDescent="0.35">
      <c r="A2" s="10" t="s">
        <v>5</v>
      </c>
      <c r="B2" s="10"/>
      <c r="C2" s="11"/>
      <c r="D2" s="11"/>
      <c r="E2" s="10"/>
      <c r="F2" s="76"/>
    </row>
    <row r="3" spans="1:6" x14ac:dyDescent="0.35">
      <c r="A3" s="5">
        <v>46204</v>
      </c>
      <c r="B3" s="6" t="s">
        <v>6</v>
      </c>
      <c r="C3" s="7">
        <v>2</v>
      </c>
      <c r="D3" s="298">
        <v>9</v>
      </c>
      <c r="E3" s="6"/>
      <c r="F3" s="77"/>
    </row>
    <row r="4" spans="1:6" x14ac:dyDescent="0.35">
      <c r="A4" s="5">
        <v>46204</v>
      </c>
      <c r="B4" s="6" t="s">
        <v>7</v>
      </c>
      <c r="C4" s="7">
        <v>6</v>
      </c>
      <c r="D4" s="299"/>
      <c r="E4" s="6"/>
      <c r="F4" s="77"/>
    </row>
    <row r="5" spans="1:6" x14ac:dyDescent="0.35">
      <c r="A5" s="5">
        <v>46204</v>
      </c>
      <c r="B5" s="6" t="s">
        <v>8</v>
      </c>
      <c r="C5" s="7">
        <v>1</v>
      </c>
      <c r="D5" s="300"/>
      <c r="E5" s="6"/>
      <c r="F5" s="77"/>
    </row>
    <row r="6" spans="1:6" x14ac:dyDescent="0.35">
      <c r="A6" s="12"/>
      <c r="B6" s="12"/>
      <c r="C6" s="13"/>
      <c r="D6" s="13"/>
      <c r="E6" s="12"/>
      <c r="F6" s="78"/>
    </row>
    <row r="7" spans="1:6" x14ac:dyDescent="0.35">
      <c r="A7" s="9" t="s">
        <v>9</v>
      </c>
      <c r="B7" s="3"/>
      <c r="C7" s="4"/>
      <c r="D7" s="4"/>
      <c r="E7" s="3"/>
    </row>
    <row r="8" spans="1:6" x14ac:dyDescent="0.35">
      <c r="A8" s="180"/>
      <c r="B8" s="180"/>
      <c r="C8" s="181"/>
      <c r="D8" s="181"/>
      <c r="E8" s="180"/>
    </row>
    <row r="9" spans="1:6" x14ac:dyDescent="0.35">
      <c r="A9" s="380">
        <v>46204</v>
      </c>
      <c r="B9" s="79" t="s">
        <v>42</v>
      </c>
      <c r="C9" s="80">
        <v>1</v>
      </c>
      <c r="D9" s="378" t="s">
        <v>346</v>
      </c>
      <c r="E9" s="81" t="s">
        <v>347</v>
      </c>
    </row>
    <row r="10" spans="1:6" x14ac:dyDescent="0.35">
      <c r="A10" s="381"/>
      <c r="B10" s="3" t="s">
        <v>348</v>
      </c>
      <c r="C10" s="4">
        <v>2</v>
      </c>
      <c r="D10" s="302"/>
      <c r="E10" s="82" t="s">
        <v>349</v>
      </c>
    </row>
    <row r="11" spans="1:6" x14ac:dyDescent="0.35">
      <c r="A11" s="381"/>
      <c r="B11" s="3" t="s">
        <v>350</v>
      </c>
      <c r="C11" s="4" t="s">
        <v>351</v>
      </c>
      <c r="D11" s="302"/>
      <c r="E11" s="82" t="s">
        <v>352</v>
      </c>
    </row>
    <row r="12" spans="1:6" x14ac:dyDescent="0.35">
      <c r="A12" s="381"/>
      <c r="B12" s="3" t="s">
        <v>353</v>
      </c>
      <c r="C12" s="4">
        <v>1</v>
      </c>
      <c r="D12" s="302"/>
      <c r="E12" s="82" t="s">
        <v>354</v>
      </c>
    </row>
    <row r="13" spans="1:6" x14ac:dyDescent="0.35">
      <c r="A13" s="381"/>
      <c r="B13" s="3" t="s">
        <v>355</v>
      </c>
      <c r="C13" s="4">
        <v>1</v>
      </c>
      <c r="D13" s="302"/>
      <c r="E13" s="82" t="s">
        <v>356</v>
      </c>
    </row>
    <row r="14" spans="1:6" x14ac:dyDescent="0.35">
      <c r="A14" s="381"/>
      <c r="B14" s="3" t="s">
        <v>357</v>
      </c>
      <c r="C14" s="4">
        <v>2</v>
      </c>
      <c r="D14" s="302"/>
      <c r="E14" s="82" t="s">
        <v>358</v>
      </c>
    </row>
    <row r="15" spans="1:6" x14ac:dyDescent="0.35">
      <c r="A15" s="381"/>
      <c r="B15" s="3" t="s">
        <v>359</v>
      </c>
      <c r="C15" s="4" t="s">
        <v>360</v>
      </c>
      <c r="D15" s="302"/>
      <c r="E15" s="82" t="s">
        <v>361</v>
      </c>
    </row>
    <row r="16" spans="1:6" x14ac:dyDescent="0.35">
      <c r="A16" s="381"/>
      <c r="B16" s="3" t="s">
        <v>362</v>
      </c>
      <c r="C16" s="4">
        <v>1</v>
      </c>
      <c r="D16" s="302"/>
      <c r="E16" s="82" t="s">
        <v>363</v>
      </c>
    </row>
    <row r="17" spans="1:5" x14ac:dyDescent="0.35">
      <c r="A17" s="381"/>
      <c r="B17" s="3" t="s">
        <v>364</v>
      </c>
      <c r="C17" s="4" t="s">
        <v>360</v>
      </c>
      <c r="D17" s="302"/>
      <c r="E17" s="82" t="s">
        <v>365</v>
      </c>
    </row>
    <row r="18" spans="1:5" x14ac:dyDescent="0.35">
      <c r="A18" s="382"/>
      <c r="B18" s="83" t="s">
        <v>366</v>
      </c>
      <c r="C18" s="84">
        <v>1</v>
      </c>
      <c r="D18" s="379"/>
      <c r="E18" s="85" t="s">
        <v>367</v>
      </c>
    </row>
    <row r="19" spans="1:5" x14ac:dyDescent="0.35">
      <c r="A19" s="178"/>
      <c r="B19" s="175"/>
      <c r="C19" s="179"/>
      <c r="D19" s="179"/>
      <c r="E19" s="175"/>
    </row>
    <row r="20" spans="1:5" x14ac:dyDescent="0.35">
      <c r="A20" s="380">
        <v>46205</v>
      </c>
      <c r="B20" s="79" t="s">
        <v>42</v>
      </c>
      <c r="C20" s="80">
        <v>1</v>
      </c>
      <c r="D20" s="378" t="s">
        <v>368</v>
      </c>
      <c r="E20" s="81" t="s">
        <v>347</v>
      </c>
    </row>
    <row r="21" spans="1:5" x14ac:dyDescent="0.35">
      <c r="A21" s="381"/>
      <c r="B21" s="3" t="s">
        <v>77</v>
      </c>
      <c r="C21" s="4">
        <v>1</v>
      </c>
      <c r="D21" s="302"/>
      <c r="E21" s="82" t="s">
        <v>369</v>
      </c>
    </row>
    <row r="22" spans="1:5" x14ac:dyDescent="0.35">
      <c r="A22" s="381"/>
      <c r="B22" s="3" t="s">
        <v>7</v>
      </c>
      <c r="C22" s="4">
        <v>4</v>
      </c>
      <c r="D22" s="302"/>
      <c r="E22" s="82" t="s">
        <v>370</v>
      </c>
    </row>
    <row r="23" spans="1:5" x14ac:dyDescent="0.35">
      <c r="A23" s="381"/>
      <c r="B23" s="3" t="s">
        <v>371</v>
      </c>
      <c r="C23" s="4" t="s">
        <v>372</v>
      </c>
      <c r="D23" s="302"/>
      <c r="E23" s="82" t="s">
        <v>373</v>
      </c>
    </row>
    <row r="24" spans="1:5" x14ac:dyDescent="0.35">
      <c r="A24" s="381"/>
      <c r="B24" s="48" t="s">
        <v>366</v>
      </c>
      <c r="C24" s="25" t="s">
        <v>351</v>
      </c>
      <c r="D24" s="302"/>
      <c r="E24" s="86" t="s">
        <v>367</v>
      </c>
    </row>
    <row r="25" spans="1:5" x14ac:dyDescent="0.35">
      <c r="A25" s="175"/>
      <c r="B25" s="175"/>
      <c r="C25" s="175"/>
      <c r="D25" s="175"/>
      <c r="E25" s="175"/>
    </row>
    <row r="26" spans="1:5" ht="15" thickBot="1" x14ac:dyDescent="0.4">
      <c r="A26" s="177"/>
      <c r="B26" s="177"/>
      <c r="C26" s="177"/>
      <c r="D26" s="177"/>
      <c r="E26" s="177"/>
    </row>
    <row r="27" spans="1:5" x14ac:dyDescent="0.35">
      <c r="A27" s="371">
        <v>46206</v>
      </c>
      <c r="B27" s="79" t="s">
        <v>42</v>
      </c>
      <c r="C27" s="101" t="s">
        <v>374</v>
      </c>
      <c r="D27" s="315" t="s">
        <v>368</v>
      </c>
      <c r="E27" s="81" t="s">
        <v>375</v>
      </c>
    </row>
    <row r="28" spans="1:5" x14ac:dyDescent="0.35">
      <c r="A28" s="372"/>
      <c r="B28" s="42" t="s">
        <v>376</v>
      </c>
      <c r="C28" s="42">
        <v>2</v>
      </c>
      <c r="D28" s="315"/>
      <c r="E28" s="102" t="s">
        <v>377</v>
      </c>
    </row>
    <row r="29" spans="1:5" x14ac:dyDescent="0.35">
      <c r="A29" s="372"/>
      <c r="B29" s="42" t="s">
        <v>378</v>
      </c>
      <c r="C29" s="42" t="s">
        <v>214</v>
      </c>
      <c r="D29" s="315"/>
      <c r="E29" s="102" t="s">
        <v>379</v>
      </c>
    </row>
    <row r="30" spans="1:5" x14ac:dyDescent="0.35">
      <c r="A30" s="372"/>
      <c r="B30" s="42" t="s">
        <v>380</v>
      </c>
      <c r="C30" s="42">
        <v>3</v>
      </c>
      <c r="D30" s="315"/>
      <c r="E30" s="102" t="s">
        <v>381</v>
      </c>
    </row>
    <row r="31" spans="1:5" x14ac:dyDescent="0.35">
      <c r="A31" s="372"/>
      <c r="B31" s="42" t="s">
        <v>382</v>
      </c>
      <c r="C31" s="42">
        <v>1</v>
      </c>
      <c r="D31" s="315"/>
      <c r="E31" s="102" t="s">
        <v>367</v>
      </c>
    </row>
    <row r="32" spans="1:5" x14ac:dyDescent="0.35">
      <c r="A32" s="372"/>
      <c r="B32" s="42" t="s">
        <v>383</v>
      </c>
      <c r="C32" s="42" t="s">
        <v>384</v>
      </c>
      <c r="D32" s="315"/>
      <c r="E32" s="102" t="s">
        <v>367</v>
      </c>
    </row>
    <row r="33" spans="1:5" ht="15" thickBot="1" x14ac:dyDescent="0.4">
      <c r="A33" s="373"/>
      <c r="B33" s="103" t="s">
        <v>385</v>
      </c>
      <c r="C33" s="103" t="s">
        <v>386</v>
      </c>
      <c r="D33" s="312"/>
      <c r="E33" s="104" t="s">
        <v>387</v>
      </c>
    </row>
    <row r="34" spans="1:5" x14ac:dyDescent="0.35">
      <c r="A34" s="175"/>
      <c r="B34" s="175"/>
      <c r="C34" s="175"/>
      <c r="D34" s="175"/>
      <c r="E34" s="175"/>
    </row>
    <row r="35" spans="1:5" ht="15" thickBot="1" x14ac:dyDescent="0.4">
      <c r="A35" s="176"/>
      <c r="B35" s="175"/>
      <c r="C35" s="175"/>
      <c r="D35" s="175"/>
      <c r="E35" s="175"/>
    </row>
    <row r="36" spans="1:5" x14ac:dyDescent="0.35">
      <c r="A36" s="374">
        <v>46209</v>
      </c>
      <c r="B36" s="79" t="s">
        <v>42</v>
      </c>
      <c r="C36" s="101" t="s">
        <v>388</v>
      </c>
      <c r="D36" s="312" t="s">
        <v>368</v>
      </c>
      <c r="E36" s="81" t="s">
        <v>389</v>
      </c>
    </row>
    <row r="37" spans="1:5" x14ac:dyDescent="0.35">
      <c r="A37" s="375"/>
      <c r="B37" s="42" t="s">
        <v>390</v>
      </c>
      <c r="C37" s="42" t="s">
        <v>388</v>
      </c>
      <c r="D37" s="313"/>
      <c r="E37" s="42" t="s">
        <v>391</v>
      </c>
    </row>
    <row r="38" spans="1:5" x14ac:dyDescent="0.35">
      <c r="A38" s="375"/>
      <c r="B38" s="42" t="s">
        <v>392</v>
      </c>
      <c r="C38" s="42" t="s">
        <v>393</v>
      </c>
      <c r="D38" s="313"/>
      <c r="E38" s="42" t="s">
        <v>394</v>
      </c>
    </row>
    <row r="39" spans="1:5" x14ac:dyDescent="0.35">
      <c r="A39" s="375"/>
      <c r="B39" s="42" t="s">
        <v>395</v>
      </c>
      <c r="C39" s="42" t="s">
        <v>396</v>
      </c>
      <c r="D39" s="313"/>
      <c r="E39" s="42" t="s">
        <v>397</v>
      </c>
    </row>
    <row r="40" spans="1:5" x14ac:dyDescent="0.35">
      <c r="A40" s="375"/>
      <c r="B40" s="42" t="s">
        <v>398</v>
      </c>
      <c r="C40" s="42" t="s">
        <v>399</v>
      </c>
      <c r="D40" s="314"/>
      <c r="E40" s="42" t="s">
        <v>400</v>
      </c>
    </row>
    <row r="41" spans="1:5" x14ac:dyDescent="0.35">
      <c r="A41" s="375"/>
      <c r="B41" s="166"/>
      <c r="C41" s="42"/>
      <c r="D41" s="42"/>
      <c r="E41" s="42"/>
    </row>
    <row r="42" spans="1:5" x14ac:dyDescent="0.35">
      <c r="A42" s="175"/>
      <c r="B42" s="175"/>
      <c r="C42" s="175"/>
      <c r="D42" s="175"/>
      <c r="E42" s="175"/>
    </row>
    <row r="43" spans="1:5" ht="15" thickBot="1" x14ac:dyDescent="0.4">
      <c r="A43" s="175"/>
      <c r="B43" s="175"/>
      <c r="C43" s="175"/>
      <c r="D43" s="175"/>
      <c r="E43" s="175"/>
    </row>
    <row r="44" spans="1:5" x14ac:dyDescent="0.35">
      <c r="A44" s="365">
        <v>46210</v>
      </c>
      <c r="B44" s="171" t="s">
        <v>401</v>
      </c>
      <c r="C44" s="160" t="s">
        <v>388</v>
      </c>
      <c r="D44" s="315" t="s">
        <v>368</v>
      </c>
      <c r="E44" s="42"/>
    </row>
    <row r="45" spans="1:5" x14ac:dyDescent="0.35">
      <c r="A45" s="376"/>
      <c r="B45" s="102" t="s">
        <v>402</v>
      </c>
      <c r="C45" s="160" t="s">
        <v>374</v>
      </c>
      <c r="D45" s="315"/>
      <c r="E45" s="42" t="s">
        <v>403</v>
      </c>
    </row>
    <row r="46" spans="1:5" x14ac:dyDescent="0.35">
      <c r="A46" s="376"/>
      <c r="B46" s="102" t="s">
        <v>404</v>
      </c>
      <c r="C46" s="160" t="s">
        <v>405</v>
      </c>
      <c r="D46" s="315"/>
      <c r="E46" s="42" t="s">
        <v>406</v>
      </c>
    </row>
    <row r="47" spans="1:5" x14ac:dyDescent="0.35">
      <c r="A47" s="376"/>
      <c r="B47" s="102" t="s">
        <v>407</v>
      </c>
      <c r="C47" s="160" t="s">
        <v>374</v>
      </c>
      <c r="D47" s="315"/>
      <c r="E47" s="42" t="s">
        <v>408</v>
      </c>
    </row>
    <row r="48" spans="1:5" x14ac:dyDescent="0.35">
      <c r="A48" s="376"/>
      <c r="B48" s="102" t="s">
        <v>409</v>
      </c>
      <c r="C48" s="160" t="s">
        <v>388</v>
      </c>
      <c r="D48" s="315"/>
      <c r="E48" s="42" t="s">
        <v>410</v>
      </c>
    </row>
    <row r="49" spans="1:5" x14ac:dyDescent="0.35">
      <c r="A49" s="376"/>
      <c r="B49" s="102" t="s">
        <v>411</v>
      </c>
      <c r="C49" s="160" t="s">
        <v>388</v>
      </c>
      <c r="D49" s="315"/>
      <c r="E49" s="42"/>
    </row>
    <row r="50" spans="1:5" x14ac:dyDescent="0.35">
      <c r="A50" s="377"/>
      <c r="B50" s="173" t="s">
        <v>412</v>
      </c>
      <c r="C50" s="174" t="s">
        <v>214</v>
      </c>
      <c r="D50" s="312"/>
      <c r="E50" s="166"/>
    </row>
    <row r="51" spans="1:5" x14ac:dyDescent="0.35">
      <c r="A51" s="175"/>
      <c r="B51" s="175"/>
      <c r="C51" s="175"/>
      <c r="D51" s="175"/>
      <c r="E51" s="175"/>
    </row>
    <row r="52" spans="1:5" ht="15" thickBot="1" x14ac:dyDescent="0.4">
      <c r="A52" s="175"/>
      <c r="B52" s="175"/>
      <c r="C52" s="175"/>
      <c r="D52" s="175"/>
      <c r="E52" s="175"/>
    </row>
    <row r="53" spans="1:5" x14ac:dyDescent="0.35">
      <c r="A53" s="371">
        <v>46211</v>
      </c>
      <c r="B53" s="42" t="s">
        <v>401</v>
      </c>
      <c r="C53" s="42" t="s">
        <v>388</v>
      </c>
      <c r="D53" s="315" t="s">
        <v>346</v>
      </c>
      <c r="E53" s="42" t="s">
        <v>389</v>
      </c>
    </row>
    <row r="54" spans="1:5" x14ac:dyDescent="0.35">
      <c r="A54" s="372"/>
      <c r="B54" s="42" t="s">
        <v>413</v>
      </c>
      <c r="C54" s="42" t="s">
        <v>388</v>
      </c>
      <c r="D54" s="315"/>
      <c r="E54" s="42" t="s">
        <v>414</v>
      </c>
    </row>
    <row r="55" spans="1:5" x14ac:dyDescent="0.35">
      <c r="A55" s="372"/>
      <c r="B55" s="42" t="s">
        <v>415</v>
      </c>
      <c r="C55" s="42" t="s">
        <v>396</v>
      </c>
      <c r="D55" s="315"/>
      <c r="E55" s="42"/>
    </row>
    <row r="56" spans="1:5" x14ac:dyDescent="0.35">
      <c r="A56" s="372"/>
      <c r="B56" s="42" t="s">
        <v>416</v>
      </c>
      <c r="C56" s="42" t="s">
        <v>393</v>
      </c>
      <c r="D56" s="315"/>
      <c r="E56" s="42" t="s">
        <v>417</v>
      </c>
    </row>
    <row r="57" spans="1:5" x14ac:dyDescent="0.35">
      <c r="A57" s="372"/>
      <c r="B57" s="42" t="s">
        <v>122</v>
      </c>
      <c r="C57" s="42" t="s">
        <v>374</v>
      </c>
      <c r="D57" s="315"/>
      <c r="E57" s="42"/>
    </row>
    <row r="58" spans="1:5" x14ac:dyDescent="0.35">
      <c r="A58" s="372"/>
      <c r="B58" s="42" t="s">
        <v>418</v>
      </c>
      <c r="C58" s="42" t="s">
        <v>419</v>
      </c>
      <c r="D58" s="315"/>
      <c r="E58" s="42"/>
    </row>
    <row r="59" spans="1:5" ht="15" thickBot="1" x14ac:dyDescent="0.4">
      <c r="A59" s="373"/>
      <c r="B59" s="42" t="s">
        <v>420</v>
      </c>
      <c r="C59" s="42" t="s">
        <v>388</v>
      </c>
      <c r="D59" s="315"/>
      <c r="E59" s="42" t="s">
        <v>421</v>
      </c>
    </row>
    <row r="60" spans="1:5" x14ac:dyDescent="0.35">
      <c r="A60" s="175"/>
      <c r="B60" s="175"/>
      <c r="C60" s="175"/>
      <c r="D60" s="175"/>
      <c r="E60" s="175"/>
    </row>
    <row r="61" spans="1:5" x14ac:dyDescent="0.35">
      <c r="A61" s="175"/>
      <c r="B61" s="175"/>
      <c r="C61" s="175"/>
      <c r="D61" s="175"/>
      <c r="E61" s="175"/>
    </row>
    <row r="62" spans="1:5" x14ac:dyDescent="0.35">
      <c r="A62" s="297">
        <v>46212</v>
      </c>
      <c r="B62" s="42" t="s">
        <v>401</v>
      </c>
      <c r="C62" s="42" t="s">
        <v>388</v>
      </c>
      <c r="D62" s="315" t="s">
        <v>368</v>
      </c>
      <c r="E62" s="42" t="s">
        <v>389</v>
      </c>
    </row>
    <row r="63" spans="1:5" x14ac:dyDescent="0.35">
      <c r="A63" s="315"/>
      <c r="B63" s="42" t="s">
        <v>422</v>
      </c>
      <c r="C63" s="42" t="s">
        <v>388</v>
      </c>
      <c r="D63" s="315"/>
      <c r="E63" s="42" t="s">
        <v>423</v>
      </c>
    </row>
    <row r="64" spans="1:5" x14ac:dyDescent="0.35">
      <c r="A64" s="315"/>
      <c r="B64" s="42" t="s">
        <v>424</v>
      </c>
      <c r="C64" s="42" t="s">
        <v>393</v>
      </c>
      <c r="D64" s="315"/>
      <c r="E64" s="42" t="s">
        <v>425</v>
      </c>
    </row>
    <row r="65" spans="1:5" x14ac:dyDescent="0.35">
      <c r="A65" s="315"/>
      <c r="B65" s="42" t="s">
        <v>426</v>
      </c>
      <c r="C65" s="42" t="s">
        <v>214</v>
      </c>
      <c r="D65" s="315"/>
      <c r="E65" s="42" t="s">
        <v>367</v>
      </c>
    </row>
    <row r="66" spans="1:5" x14ac:dyDescent="0.35">
      <c r="A66" s="315"/>
      <c r="B66" s="42" t="s">
        <v>427</v>
      </c>
      <c r="C66" s="42" t="s">
        <v>388</v>
      </c>
      <c r="D66" s="315"/>
      <c r="E66" s="42" t="s">
        <v>428</v>
      </c>
    </row>
    <row r="67" spans="1:5" x14ac:dyDescent="0.35">
      <c r="A67" s="315"/>
      <c r="B67" s="42" t="s">
        <v>429</v>
      </c>
      <c r="C67" s="42" t="s">
        <v>214</v>
      </c>
      <c r="D67" s="315"/>
      <c r="E67" s="42"/>
    </row>
    <row r="68" spans="1:5" x14ac:dyDescent="0.35">
      <c r="A68" s="315"/>
      <c r="B68" s="42" t="s">
        <v>430</v>
      </c>
      <c r="C68" s="42" t="s">
        <v>214</v>
      </c>
      <c r="D68" s="315"/>
      <c r="E68" s="42"/>
    </row>
    <row r="69" spans="1:5" x14ac:dyDescent="0.35">
      <c r="A69" s="315"/>
      <c r="B69" s="42" t="s">
        <v>431</v>
      </c>
      <c r="C69" s="42" t="s">
        <v>393</v>
      </c>
      <c r="D69" s="315"/>
      <c r="E69" s="42"/>
    </row>
    <row r="70" spans="1:5" x14ac:dyDescent="0.35">
      <c r="A70" s="315"/>
      <c r="B70" s="42" t="s">
        <v>432</v>
      </c>
      <c r="C70" s="42" t="s">
        <v>214</v>
      </c>
      <c r="D70" s="315"/>
      <c r="E70" s="42"/>
    </row>
    <row r="71" spans="1:5" x14ac:dyDescent="0.35">
      <c r="A71" s="175"/>
      <c r="B71" s="175"/>
      <c r="C71" s="175"/>
      <c r="D71" s="175"/>
      <c r="E71" s="175"/>
    </row>
    <row r="72" spans="1:5" x14ac:dyDescent="0.35">
      <c r="A72" s="175"/>
      <c r="B72" s="175"/>
      <c r="C72" s="175"/>
      <c r="D72" s="175"/>
      <c r="E72" s="175"/>
    </row>
    <row r="74" spans="1:5" ht="14.5" customHeight="1" x14ac:dyDescent="0.35">
      <c r="A74" s="297">
        <v>46213</v>
      </c>
      <c r="B74" s="42" t="s">
        <v>401</v>
      </c>
      <c r="C74" s="42" t="s">
        <v>388</v>
      </c>
      <c r="D74" s="315" t="s">
        <v>368</v>
      </c>
      <c r="E74" s="42" t="s">
        <v>389</v>
      </c>
    </row>
    <row r="75" spans="1:5" ht="14.5" customHeight="1" x14ac:dyDescent="0.35">
      <c r="A75" s="297"/>
      <c r="B75" s="42" t="s">
        <v>433</v>
      </c>
      <c r="C75" s="42" t="s">
        <v>434</v>
      </c>
      <c r="D75" s="315"/>
      <c r="E75" s="42" t="s">
        <v>435</v>
      </c>
    </row>
    <row r="76" spans="1:5" ht="14.5" customHeight="1" x14ac:dyDescent="0.35">
      <c r="A76" s="297"/>
      <c r="B76" s="42" t="s">
        <v>436</v>
      </c>
      <c r="C76" s="42" t="s">
        <v>437</v>
      </c>
      <c r="D76" s="315"/>
      <c r="E76" s="42" t="s">
        <v>438</v>
      </c>
    </row>
    <row r="77" spans="1:5" ht="14.5" customHeight="1" x14ac:dyDescent="0.35">
      <c r="A77" s="297"/>
      <c r="B77" s="42" t="s">
        <v>439</v>
      </c>
      <c r="C77" s="42" t="s">
        <v>434</v>
      </c>
      <c r="D77" s="315"/>
      <c r="E77" s="210" t="s">
        <v>440</v>
      </c>
    </row>
    <row r="78" spans="1:5" ht="14.5" customHeight="1" x14ac:dyDescent="0.35">
      <c r="A78" s="297"/>
      <c r="B78" s="42" t="s">
        <v>441</v>
      </c>
      <c r="C78" s="42" t="s">
        <v>393</v>
      </c>
      <c r="D78" s="315"/>
      <c r="E78" s="42" t="s">
        <v>442</v>
      </c>
    </row>
    <row r="79" spans="1:5" ht="14.5" customHeight="1" x14ac:dyDescent="0.35">
      <c r="A79" s="297"/>
      <c r="B79" s="42" t="s">
        <v>443</v>
      </c>
      <c r="C79" s="42" t="s">
        <v>434</v>
      </c>
      <c r="D79" s="315"/>
      <c r="E79" s="42" t="s">
        <v>444</v>
      </c>
    </row>
    <row r="80" spans="1:5" ht="14.5" customHeight="1" x14ac:dyDescent="0.35">
      <c r="A80" s="297"/>
      <c r="B80" s="33" t="s">
        <v>445</v>
      </c>
      <c r="C80" s="42" t="s">
        <v>446</v>
      </c>
      <c r="D80" s="315"/>
      <c r="E80" s="42" t="s">
        <v>447</v>
      </c>
    </row>
    <row r="81" spans="1:5" x14ac:dyDescent="0.35">
      <c r="A81" s="175"/>
      <c r="B81" s="175"/>
      <c r="C81" s="175"/>
      <c r="D81" s="175"/>
      <c r="E81" s="175"/>
    </row>
    <row r="82" spans="1:5" x14ac:dyDescent="0.35">
      <c r="A82" s="175"/>
      <c r="B82" s="175"/>
      <c r="C82" s="175"/>
      <c r="D82" s="175"/>
      <c r="E82" s="175"/>
    </row>
    <row r="83" spans="1:5" ht="15" thickBot="1" x14ac:dyDescent="0.4"/>
    <row r="84" spans="1:5" ht="14.5" customHeight="1" x14ac:dyDescent="0.35">
      <c r="A84" s="365">
        <v>46216</v>
      </c>
      <c r="B84" s="101" t="s">
        <v>401</v>
      </c>
      <c r="C84" s="101" t="s">
        <v>437</v>
      </c>
      <c r="D84" s="383" t="s">
        <v>368</v>
      </c>
      <c r="E84" s="171" t="s">
        <v>81</v>
      </c>
    </row>
    <row r="85" spans="1:5" ht="14.5" customHeight="1" x14ac:dyDescent="0.35">
      <c r="A85" s="366"/>
      <c r="B85" s="42" t="s">
        <v>448</v>
      </c>
      <c r="C85" s="42" t="s">
        <v>449</v>
      </c>
      <c r="D85" s="315"/>
      <c r="E85" s="102" t="s">
        <v>450</v>
      </c>
    </row>
    <row r="86" spans="1:5" ht="14.5" customHeight="1" x14ac:dyDescent="0.35">
      <c r="A86" s="366"/>
      <c r="B86" s="42" t="s">
        <v>451</v>
      </c>
      <c r="C86" s="42" t="s">
        <v>437</v>
      </c>
      <c r="D86" s="315"/>
      <c r="E86" s="102"/>
    </row>
    <row r="87" spans="1:5" ht="14.5" customHeight="1" x14ac:dyDescent="0.35">
      <c r="A87" s="366"/>
      <c r="B87" s="42" t="s">
        <v>452</v>
      </c>
      <c r="C87" s="42" t="s">
        <v>453</v>
      </c>
      <c r="D87" s="315"/>
      <c r="E87" s="102" t="s">
        <v>454</v>
      </c>
    </row>
    <row r="88" spans="1:5" x14ac:dyDescent="0.35">
      <c r="A88" s="366"/>
      <c r="B88" s="42" t="s">
        <v>455</v>
      </c>
      <c r="C88" s="42" t="s">
        <v>446</v>
      </c>
      <c r="D88" s="315"/>
      <c r="E88" s="102"/>
    </row>
    <row r="89" spans="1:5" ht="15" thickBot="1" x14ac:dyDescent="0.4">
      <c r="A89" s="367"/>
      <c r="B89" s="103"/>
      <c r="C89" s="103"/>
      <c r="D89" s="384"/>
      <c r="E89" s="104"/>
    </row>
    <row r="90" spans="1:5" x14ac:dyDescent="0.35">
      <c r="A90" s="175"/>
      <c r="B90" s="175"/>
      <c r="C90" s="175"/>
      <c r="D90" s="175"/>
      <c r="E90" s="175"/>
    </row>
    <row r="91" spans="1:5" x14ac:dyDescent="0.35">
      <c r="A91" s="175"/>
      <c r="B91" s="175"/>
      <c r="C91" s="175"/>
      <c r="D91" s="175"/>
      <c r="E91" s="175"/>
    </row>
    <row r="92" spans="1:5" ht="15" thickBot="1" x14ac:dyDescent="0.4"/>
    <row r="93" spans="1:5" x14ac:dyDescent="0.35">
      <c r="A93" s="365">
        <v>46217</v>
      </c>
      <c r="B93" s="101" t="s">
        <v>401</v>
      </c>
      <c r="C93" s="101" t="s">
        <v>437</v>
      </c>
      <c r="D93" s="383" t="s">
        <v>456</v>
      </c>
      <c r="E93" s="171" t="s">
        <v>389</v>
      </c>
    </row>
    <row r="94" spans="1:5" ht="68.25" customHeight="1" x14ac:dyDescent="0.35">
      <c r="A94" s="366"/>
      <c r="B94" s="108" t="s">
        <v>457</v>
      </c>
      <c r="C94" s="42" t="s">
        <v>396</v>
      </c>
      <c r="D94" s="315"/>
      <c r="E94" s="102" t="s">
        <v>458</v>
      </c>
    </row>
    <row r="95" spans="1:5" x14ac:dyDescent="0.35">
      <c r="A95" s="366"/>
      <c r="B95" s="42" t="s">
        <v>459</v>
      </c>
      <c r="C95" s="42" t="s">
        <v>446</v>
      </c>
      <c r="D95" s="315"/>
      <c r="E95" s="102" t="s">
        <v>460</v>
      </c>
    </row>
    <row r="96" spans="1:5" x14ac:dyDescent="0.35">
      <c r="A96" s="366"/>
      <c r="B96" s="42" t="s">
        <v>461</v>
      </c>
      <c r="C96" s="42" t="s">
        <v>446</v>
      </c>
      <c r="D96" s="315"/>
      <c r="E96" s="102" t="s">
        <v>461</v>
      </c>
    </row>
    <row r="97" spans="1:5" x14ac:dyDescent="0.35">
      <c r="A97" s="366"/>
      <c r="B97" s="42" t="s">
        <v>462</v>
      </c>
      <c r="C97" s="42" t="s">
        <v>446</v>
      </c>
      <c r="D97" s="315"/>
      <c r="E97" s="102" t="s">
        <v>462</v>
      </c>
    </row>
    <row r="98" spans="1:5" ht="15" thickBot="1" x14ac:dyDescent="0.4">
      <c r="A98" s="367"/>
      <c r="B98" s="103" t="s">
        <v>463</v>
      </c>
      <c r="C98" s="103" t="s">
        <v>464</v>
      </c>
      <c r="D98" s="384"/>
      <c r="E98" s="104"/>
    </row>
    <row r="99" spans="1:5" x14ac:dyDescent="0.35">
      <c r="A99" s="175"/>
      <c r="B99" s="175"/>
      <c r="C99" s="175"/>
      <c r="D99" s="175"/>
      <c r="E99" s="175"/>
    </row>
    <row r="100" spans="1:5" x14ac:dyDescent="0.35">
      <c r="A100" s="175"/>
      <c r="B100" s="175"/>
      <c r="C100" s="175"/>
      <c r="D100" s="175"/>
      <c r="E100" s="175"/>
    </row>
    <row r="102" spans="1:5" x14ac:dyDescent="0.35">
      <c r="A102" s="297">
        <v>46218</v>
      </c>
      <c r="B102" s="45" t="s">
        <v>8</v>
      </c>
      <c r="C102" s="42" t="s">
        <v>437</v>
      </c>
      <c r="D102" s="315" t="s">
        <v>368</v>
      </c>
      <c r="E102" s="42" t="s">
        <v>389</v>
      </c>
    </row>
    <row r="103" spans="1:5" x14ac:dyDescent="0.35">
      <c r="A103" s="297"/>
      <c r="B103" s="45" t="s">
        <v>465</v>
      </c>
      <c r="C103" s="42" t="s">
        <v>437</v>
      </c>
      <c r="D103" s="315"/>
      <c r="E103" s="42" t="s">
        <v>466</v>
      </c>
    </row>
    <row r="104" spans="1:5" x14ac:dyDescent="0.35">
      <c r="A104" s="297"/>
      <c r="B104" s="42" t="s">
        <v>467</v>
      </c>
      <c r="C104" s="42" t="s">
        <v>396</v>
      </c>
      <c r="D104" s="315"/>
      <c r="E104" s="42" t="s">
        <v>468</v>
      </c>
    </row>
    <row r="105" spans="1:5" x14ac:dyDescent="0.35">
      <c r="A105" s="297"/>
      <c r="B105" s="42" t="s">
        <v>469</v>
      </c>
      <c r="C105" s="42" t="s">
        <v>446</v>
      </c>
      <c r="D105" s="315"/>
      <c r="E105" s="42" t="s">
        <v>470</v>
      </c>
    </row>
    <row r="106" spans="1:5" x14ac:dyDescent="0.35">
      <c r="A106" s="297"/>
      <c r="B106" s="42" t="s">
        <v>471</v>
      </c>
      <c r="C106" s="42" t="s">
        <v>393</v>
      </c>
      <c r="D106" s="315"/>
      <c r="E106" s="42" t="s">
        <v>472</v>
      </c>
    </row>
    <row r="107" spans="1:5" x14ac:dyDescent="0.35">
      <c r="A107" s="297"/>
      <c r="B107" s="42" t="s">
        <v>473</v>
      </c>
      <c r="C107" s="42" t="s">
        <v>434</v>
      </c>
      <c r="D107" s="315"/>
      <c r="E107" s="42"/>
    </row>
    <row r="108" spans="1:5" x14ac:dyDescent="0.35">
      <c r="A108" s="175"/>
      <c r="B108" s="175"/>
      <c r="C108" s="175"/>
      <c r="D108" s="175"/>
      <c r="E108" s="175"/>
    </row>
    <row r="109" spans="1:5" x14ac:dyDescent="0.35">
      <c r="A109" s="175"/>
      <c r="B109" s="175"/>
      <c r="C109" s="175"/>
      <c r="D109" s="175"/>
      <c r="E109" s="175"/>
    </row>
    <row r="110" spans="1:5" ht="15" thickBot="1" x14ac:dyDescent="0.4"/>
    <row r="111" spans="1:5" x14ac:dyDescent="0.35">
      <c r="A111" s="365">
        <v>46219</v>
      </c>
      <c r="B111" s="238" t="s">
        <v>8</v>
      </c>
      <c r="C111" s="101" t="s">
        <v>437</v>
      </c>
      <c r="D111" s="383" t="s">
        <v>368</v>
      </c>
      <c r="E111" s="171" t="s">
        <v>389</v>
      </c>
    </row>
    <row r="112" spans="1:5" x14ac:dyDescent="0.35">
      <c r="A112" s="376"/>
      <c r="B112" s="42" t="s">
        <v>474</v>
      </c>
      <c r="C112" s="42" t="s">
        <v>437</v>
      </c>
      <c r="D112" s="315"/>
      <c r="E112" s="102"/>
    </row>
    <row r="113" spans="1:5" x14ac:dyDescent="0.35">
      <c r="A113" s="376"/>
      <c r="B113" s="42" t="s">
        <v>475</v>
      </c>
      <c r="C113" s="42" t="s">
        <v>393</v>
      </c>
      <c r="D113" s="315"/>
      <c r="E113" s="102" t="s">
        <v>476</v>
      </c>
    </row>
    <row r="114" spans="1:5" x14ac:dyDescent="0.35">
      <c r="A114" s="376"/>
      <c r="B114" s="42" t="s">
        <v>477</v>
      </c>
      <c r="C114" s="42" t="s">
        <v>396</v>
      </c>
      <c r="D114" s="315"/>
      <c r="E114" s="102" t="s">
        <v>478</v>
      </c>
    </row>
    <row r="115" spans="1:5" ht="15" thickBot="1" x14ac:dyDescent="0.4">
      <c r="A115" s="385"/>
      <c r="B115" s="103" t="s">
        <v>479</v>
      </c>
      <c r="C115" s="103" t="s">
        <v>393</v>
      </c>
      <c r="D115" s="384"/>
      <c r="E115" s="104" t="s">
        <v>480</v>
      </c>
    </row>
    <row r="116" spans="1:5" x14ac:dyDescent="0.35">
      <c r="A116" s="175"/>
      <c r="B116" s="175"/>
      <c r="C116" s="175"/>
      <c r="D116" s="175"/>
      <c r="E116" s="175"/>
    </row>
    <row r="117" spans="1:5" x14ac:dyDescent="0.35">
      <c r="A117" s="175"/>
      <c r="B117" s="175"/>
      <c r="C117" s="175"/>
      <c r="D117" s="175"/>
      <c r="E117" s="175"/>
    </row>
    <row r="119" spans="1:5" x14ac:dyDescent="0.35">
      <c r="A119" s="368">
        <v>46220</v>
      </c>
      <c r="B119" s="45" t="s">
        <v>8</v>
      </c>
      <c r="C119" s="42" t="s">
        <v>437</v>
      </c>
      <c r="D119" s="315" t="s">
        <v>346</v>
      </c>
      <c r="E119" s="42" t="s">
        <v>389</v>
      </c>
    </row>
    <row r="120" spans="1:5" x14ac:dyDescent="0.35">
      <c r="A120" s="369"/>
      <c r="B120" s="42" t="s">
        <v>481</v>
      </c>
      <c r="C120" s="42" t="s">
        <v>482</v>
      </c>
      <c r="D120" s="315"/>
      <c r="E120" s="42" t="s">
        <v>483</v>
      </c>
    </row>
    <row r="121" spans="1:5" x14ac:dyDescent="0.35">
      <c r="A121" s="369"/>
      <c r="B121" s="42" t="s">
        <v>484</v>
      </c>
      <c r="C121" s="42" t="s">
        <v>482</v>
      </c>
      <c r="D121" s="315"/>
      <c r="E121" s="42" t="s">
        <v>483</v>
      </c>
    </row>
    <row r="122" spans="1:5" x14ac:dyDescent="0.35">
      <c r="A122" s="369"/>
      <c r="B122" s="42" t="s">
        <v>485</v>
      </c>
      <c r="C122" s="42" t="s">
        <v>482</v>
      </c>
      <c r="D122" s="315"/>
      <c r="E122" s="42" t="s">
        <v>483</v>
      </c>
    </row>
    <row r="123" spans="1:5" x14ac:dyDescent="0.35">
      <c r="A123" s="369"/>
      <c r="B123" s="42" t="s">
        <v>486</v>
      </c>
      <c r="C123" s="42" t="s">
        <v>482</v>
      </c>
      <c r="D123" s="315"/>
      <c r="E123" s="42" t="s">
        <v>483</v>
      </c>
    </row>
    <row r="124" spans="1:5" x14ac:dyDescent="0.35">
      <c r="A124" s="369"/>
      <c r="B124" s="42" t="s">
        <v>487</v>
      </c>
      <c r="C124" s="42" t="s">
        <v>437</v>
      </c>
      <c r="D124" s="315"/>
      <c r="E124" s="42"/>
    </row>
    <row r="125" spans="1:5" x14ac:dyDescent="0.35">
      <c r="A125" s="369"/>
      <c r="B125" s="42" t="s">
        <v>488</v>
      </c>
      <c r="C125" s="42" t="s">
        <v>393</v>
      </c>
      <c r="D125" s="315"/>
      <c r="E125" s="42"/>
    </row>
    <row r="126" spans="1:5" x14ac:dyDescent="0.35">
      <c r="A126" s="370"/>
      <c r="B126" s="42" t="s">
        <v>489</v>
      </c>
      <c r="C126" s="42" t="s">
        <v>490</v>
      </c>
      <c r="D126" s="315"/>
      <c r="E126" s="42"/>
    </row>
    <row r="127" spans="1:5" x14ac:dyDescent="0.35">
      <c r="A127" s="175"/>
      <c r="B127" s="175"/>
      <c r="C127" s="175"/>
      <c r="D127" s="175"/>
      <c r="E127" s="175"/>
    </row>
    <row r="128" spans="1:5" x14ac:dyDescent="0.35">
      <c r="A128" s="175"/>
      <c r="B128" s="175"/>
      <c r="C128" s="175"/>
      <c r="D128" s="175"/>
      <c r="E128" s="175"/>
    </row>
    <row r="129" spans="1:5" ht="15" thickBot="1" x14ac:dyDescent="0.4">
      <c r="A129" s="242"/>
      <c r="B129" s="242"/>
      <c r="C129" s="242"/>
      <c r="D129" s="242"/>
      <c r="E129" s="242"/>
    </row>
    <row r="130" spans="1:5" x14ac:dyDescent="0.35">
      <c r="A130" s="386">
        <v>46223</v>
      </c>
      <c r="B130" s="132" t="s">
        <v>8</v>
      </c>
      <c r="C130" s="132" t="s">
        <v>437</v>
      </c>
      <c r="D130" s="383" t="s">
        <v>368</v>
      </c>
      <c r="E130" s="171" t="s">
        <v>389</v>
      </c>
    </row>
    <row r="131" spans="1:5" x14ac:dyDescent="0.35">
      <c r="A131" s="387"/>
      <c r="B131" s="93" t="s">
        <v>272</v>
      </c>
      <c r="C131" s="93" t="s">
        <v>393</v>
      </c>
      <c r="D131" s="315"/>
      <c r="E131" s="102" t="s">
        <v>491</v>
      </c>
    </row>
    <row r="132" spans="1:5" x14ac:dyDescent="0.35">
      <c r="A132" s="387"/>
      <c r="B132" s="42" t="s">
        <v>492</v>
      </c>
      <c r="C132" s="42" t="s">
        <v>396</v>
      </c>
      <c r="D132" s="315"/>
      <c r="E132" s="102" t="s">
        <v>493</v>
      </c>
    </row>
    <row r="133" spans="1:5" x14ac:dyDescent="0.35">
      <c r="A133" s="387"/>
      <c r="B133" s="42" t="s">
        <v>494</v>
      </c>
      <c r="C133" s="42" t="s">
        <v>393</v>
      </c>
      <c r="D133" s="315"/>
      <c r="E133" s="102"/>
    </row>
    <row r="134" spans="1:5" x14ac:dyDescent="0.35">
      <c r="A134" s="387"/>
      <c r="B134" s="42" t="s">
        <v>495</v>
      </c>
      <c r="C134" s="42" t="s">
        <v>482</v>
      </c>
      <c r="D134" s="315"/>
      <c r="E134" s="102" t="s">
        <v>496</v>
      </c>
    </row>
    <row r="135" spans="1:5" x14ac:dyDescent="0.35">
      <c r="A135" s="387"/>
      <c r="B135" s="42" t="s">
        <v>497</v>
      </c>
      <c r="C135" s="42" t="s">
        <v>482</v>
      </c>
      <c r="D135" s="315"/>
      <c r="E135" s="102"/>
    </row>
    <row r="136" spans="1:5" ht="15" thickBot="1" x14ac:dyDescent="0.4">
      <c r="A136" s="388"/>
      <c r="B136" s="103"/>
      <c r="C136" s="103"/>
      <c r="D136" s="384"/>
      <c r="E136" s="104"/>
    </row>
    <row r="137" spans="1:5" x14ac:dyDescent="0.35">
      <c r="A137" s="175"/>
      <c r="B137" s="175"/>
      <c r="C137" s="175"/>
      <c r="D137" s="175"/>
      <c r="E137" s="175"/>
    </row>
    <row r="138" spans="1:5" x14ac:dyDescent="0.35">
      <c r="A138" s="175"/>
      <c r="B138" s="175"/>
      <c r="C138" s="175"/>
      <c r="D138" s="175"/>
      <c r="E138" s="175"/>
    </row>
    <row r="139" spans="1:5" ht="15" thickBot="1" x14ac:dyDescent="0.4"/>
    <row r="140" spans="1:5" x14ac:dyDescent="0.35">
      <c r="A140" s="365">
        <v>46224</v>
      </c>
      <c r="B140" s="132" t="s">
        <v>8</v>
      </c>
      <c r="C140" s="101" t="s">
        <v>437</v>
      </c>
      <c r="D140" s="383" t="s">
        <v>498</v>
      </c>
      <c r="E140" s="171" t="s">
        <v>389</v>
      </c>
    </row>
    <row r="141" spans="1:5" x14ac:dyDescent="0.35">
      <c r="A141" s="366"/>
      <c r="B141" s="42" t="s">
        <v>499</v>
      </c>
      <c r="C141" s="42" t="s">
        <v>393</v>
      </c>
      <c r="D141" s="315"/>
      <c r="E141" s="102" t="s">
        <v>500</v>
      </c>
    </row>
    <row r="142" spans="1:5" x14ac:dyDescent="0.35">
      <c r="A142" s="366"/>
      <c r="B142" s="42" t="s">
        <v>501</v>
      </c>
      <c r="C142" s="42" t="s">
        <v>396</v>
      </c>
      <c r="D142" s="315"/>
      <c r="E142" s="102" t="s">
        <v>502</v>
      </c>
    </row>
    <row r="143" spans="1:5" x14ac:dyDescent="0.35">
      <c r="A143" s="366"/>
      <c r="B143" s="42" t="s">
        <v>503</v>
      </c>
      <c r="C143" s="42" t="s">
        <v>437</v>
      </c>
      <c r="D143" s="315"/>
      <c r="E143" s="253" t="s">
        <v>504</v>
      </c>
    </row>
    <row r="144" spans="1:5" x14ac:dyDescent="0.35">
      <c r="A144" s="366"/>
      <c r="B144" s="42" t="s">
        <v>505</v>
      </c>
      <c r="C144" s="42" t="s">
        <v>437</v>
      </c>
      <c r="D144" s="315"/>
      <c r="E144" s="102" t="s">
        <v>506</v>
      </c>
    </row>
    <row r="145" spans="1:5" x14ac:dyDescent="0.35">
      <c r="A145" s="366"/>
      <c r="B145" s="42" t="s">
        <v>507</v>
      </c>
      <c r="C145" s="42" t="s">
        <v>508</v>
      </c>
      <c r="D145" s="315"/>
      <c r="E145" s="102" t="s">
        <v>509</v>
      </c>
    </row>
    <row r="146" spans="1:5" ht="15" thickBot="1" x14ac:dyDescent="0.4">
      <c r="A146" s="367"/>
      <c r="B146" s="103" t="s">
        <v>510</v>
      </c>
      <c r="C146" s="103" t="s">
        <v>437</v>
      </c>
      <c r="D146" s="384"/>
      <c r="E146" s="104"/>
    </row>
    <row r="147" spans="1:5" x14ac:dyDescent="0.35">
      <c r="A147" s="175"/>
      <c r="B147" s="175"/>
      <c r="C147" s="175"/>
      <c r="D147" s="175"/>
      <c r="E147" s="175"/>
    </row>
    <row r="148" spans="1:5" x14ac:dyDescent="0.35">
      <c r="A148" s="175"/>
      <c r="B148" s="175"/>
      <c r="C148" s="175"/>
      <c r="D148" s="175"/>
      <c r="E148" s="175"/>
    </row>
    <row r="149" spans="1:5" ht="15" thickBot="1" x14ac:dyDescent="0.4"/>
    <row r="150" spans="1:5" x14ac:dyDescent="0.35">
      <c r="A150" s="365">
        <v>46225</v>
      </c>
      <c r="B150" s="132" t="s">
        <v>8</v>
      </c>
      <c r="C150" s="101" t="s">
        <v>437</v>
      </c>
      <c r="D150" s="383" t="s">
        <v>498</v>
      </c>
      <c r="E150" s="171" t="s">
        <v>389</v>
      </c>
    </row>
    <row r="151" spans="1:5" x14ac:dyDescent="0.35">
      <c r="A151" s="366"/>
      <c r="B151" s="42" t="s">
        <v>511</v>
      </c>
      <c r="C151" s="42" t="s">
        <v>396</v>
      </c>
      <c r="D151" s="315"/>
      <c r="E151" s="102" t="s">
        <v>512</v>
      </c>
    </row>
    <row r="152" spans="1:5" x14ac:dyDescent="0.35">
      <c r="A152" s="366"/>
      <c r="B152" s="42" t="s">
        <v>156</v>
      </c>
      <c r="C152" s="252" t="s">
        <v>437</v>
      </c>
      <c r="D152" s="315"/>
      <c r="E152" s="102" t="s">
        <v>513</v>
      </c>
    </row>
    <row r="153" spans="1:5" x14ac:dyDescent="0.35">
      <c r="A153" s="366"/>
      <c r="B153" s="42" t="s">
        <v>514</v>
      </c>
      <c r="C153" s="42" t="s">
        <v>508</v>
      </c>
      <c r="D153" s="315"/>
      <c r="E153" s="102" t="s">
        <v>515</v>
      </c>
    </row>
    <row r="154" spans="1:5" x14ac:dyDescent="0.35">
      <c r="A154" s="366"/>
      <c r="B154" s="42" t="s">
        <v>516</v>
      </c>
      <c r="C154" s="42" t="s">
        <v>517</v>
      </c>
      <c r="D154" s="315"/>
      <c r="E154" s="102" t="s">
        <v>515</v>
      </c>
    </row>
    <row r="155" spans="1:5" ht="15" thickBot="1" x14ac:dyDescent="0.4">
      <c r="A155" s="367"/>
      <c r="B155" s="103"/>
      <c r="C155" s="103"/>
      <c r="D155" s="384"/>
      <c r="E155" s="104"/>
    </row>
    <row r="156" spans="1:5" x14ac:dyDescent="0.35">
      <c r="A156" s="175"/>
      <c r="B156" s="175"/>
      <c r="C156" s="175"/>
      <c r="D156" s="175"/>
      <c r="E156" s="175"/>
    </row>
    <row r="157" spans="1:5" x14ac:dyDescent="0.35">
      <c r="A157" s="175"/>
      <c r="B157" s="175"/>
      <c r="C157" s="175"/>
      <c r="D157" s="175"/>
      <c r="E157" s="175"/>
    </row>
    <row r="159" spans="1:5" x14ac:dyDescent="0.35">
      <c r="A159" s="297">
        <v>46226</v>
      </c>
      <c r="B159" s="93" t="s">
        <v>8</v>
      </c>
      <c r="C159" s="42" t="s">
        <v>437</v>
      </c>
      <c r="D159" s="315" t="s">
        <v>368</v>
      </c>
      <c r="E159" s="42" t="s">
        <v>389</v>
      </c>
    </row>
    <row r="160" spans="1:5" x14ac:dyDescent="0.35">
      <c r="A160" s="297"/>
      <c r="B160" s="42" t="s">
        <v>518</v>
      </c>
      <c r="C160" s="42" t="s">
        <v>517</v>
      </c>
      <c r="D160" s="315"/>
      <c r="E160" s="42" t="s">
        <v>519</v>
      </c>
    </row>
    <row r="161" spans="1:5" x14ac:dyDescent="0.35">
      <c r="A161" s="297"/>
      <c r="B161" s="42" t="s">
        <v>156</v>
      </c>
      <c r="C161" s="42" t="s">
        <v>374</v>
      </c>
      <c r="D161" s="315"/>
      <c r="E161" s="42" t="s">
        <v>513</v>
      </c>
    </row>
    <row r="162" spans="1:5" x14ac:dyDescent="0.35">
      <c r="A162" s="297"/>
      <c r="B162" s="42" t="s">
        <v>520</v>
      </c>
      <c r="C162" s="42" t="s">
        <v>372</v>
      </c>
      <c r="D162" s="315"/>
      <c r="E162" s="42" t="s">
        <v>521</v>
      </c>
    </row>
    <row r="163" spans="1:5" x14ac:dyDescent="0.35">
      <c r="A163" s="297"/>
      <c r="B163" s="42"/>
      <c r="C163" s="42"/>
      <c r="D163" s="315"/>
      <c r="E163" s="42"/>
    </row>
    <row r="164" spans="1:5" x14ac:dyDescent="0.35">
      <c r="A164" s="175"/>
      <c r="B164" s="175"/>
      <c r="C164" s="175"/>
      <c r="D164" s="175"/>
      <c r="E164" s="175"/>
    </row>
    <row r="165" spans="1:5" x14ac:dyDescent="0.35">
      <c r="A165" s="175"/>
      <c r="B165" s="175"/>
      <c r="C165" s="175"/>
      <c r="D165" s="175"/>
      <c r="E165" s="175"/>
    </row>
    <row r="167" spans="1:5" ht="14.5" customHeight="1" x14ac:dyDescent="0.35">
      <c r="A167" s="297">
        <v>46227</v>
      </c>
      <c r="B167" s="93" t="s">
        <v>8</v>
      </c>
      <c r="C167" s="42" t="s">
        <v>437</v>
      </c>
      <c r="D167" s="315" t="s">
        <v>346</v>
      </c>
      <c r="E167" s="42" t="s">
        <v>389</v>
      </c>
    </row>
    <row r="168" spans="1:5" ht="29.15" customHeight="1" x14ac:dyDescent="0.35">
      <c r="A168" s="315"/>
      <c r="B168" s="42" t="s">
        <v>522</v>
      </c>
      <c r="C168" s="42" t="s">
        <v>437</v>
      </c>
      <c r="D168" s="315"/>
      <c r="E168" s="108" t="s">
        <v>523</v>
      </c>
    </row>
    <row r="169" spans="1:5" ht="14.5" customHeight="1" x14ac:dyDescent="0.35">
      <c r="A169" s="315"/>
      <c r="B169" s="42" t="s">
        <v>524</v>
      </c>
      <c r="C169" s="42" t="s">
        <v>393</v>
      </c>
      <c r="D169" s="315"/>
      <c r="E169" s="42" t="s">
        <v>525</v>
      </c>
    </row>
    <row r="170" spans="1:5" ht="14.5" customHeight="1" x14ac:dyDescent="0.35">
      <c r="A170" s="315"/>
      <c r="B170" s="42" t="s">
        <v>526</v>
      </c>
      <c r="C170" s="42" t="s">
        <v>214</v>
      </c>
      <c r="D170" s="315"/>
      <c r="E170" s="42" t="s">
        <v>527</v>
      </c>
    </row>
    <row r="171" spans="1:5" ht="14.5" customHeight="1" x14ac:dyDescent="0.35">
      <c r="A171" s="315"/>
      <c r="B171" s="42" t="s">
        <v>528</v>
      </c>
      <c r="C171" s="42" t="s">
        <v>396</v>
      </c>
      <c r="D171" s="315"/>
      <c r="E171" s="42" t="s">
        <v>529</v>
      </c>
    </row>
    <row r="172" spans="1:5" ht="14.5" customHeight="1" x14ac:dyDescent="0.35">
      <c r="A172" s="315"/>
      <c r="B172" s="42" t="s">
        <v>530</v>
      </c>
      <c r="C172" s="42" t="s">
        <v>372</v>
      </c>
      <c r="D172" s="315"/>
      <c r="E172" s="42" t="s">
        <v>531</v>
      </c>
    </row>
    <row r="173" spans="1:5" x14ac:dyDescent="0.35">
      <c r="A173" s="175"/>
      <c r="B173" s="175"/>
      <c r="C173" s="175"/>
      <c r="D173" s="175"/>
      <c r="E173" s="175"/>
    </row>
    <row r="174" spans="1:5" x14ac:dyDescent="0.35">
      <c r="A174" s="175"/>
      <c r="B174" s="175"/>
      <c r="C174" s="175"/>
      <c r="D174" s="175"/>
      <c r="E174" s="175"/>
    </row>
    <row r="176" spans="1:5" x14ac:dyDescent="0.35">
      <c r="A176" s="297">
        <v>46230</v>
      </c>
      <c r="B176" s="93" t="s">
        <v>8</v>
      </c>
      <c r="C176" s="42" t="s">
        <v>437</v>
      </c>
      <c r="D176" s="315" t="s">
        <v>346</v>
      </c>
      <c r="E176" s="42" t="s">
        <v>389</v>
      </c>
    </row>
    <row r="177" spans="1:5" x14ac:dyDescent="0.35">
      <c r="A177" s="297"/>
      <c r="B177" s="42" t="s">
        <v>1612</v>
      </c>
      <c r="C177" s="42" t="s">
        <v>374</v>
      </c>
      <c r="D177" s="315"/>
      <c r="E177" s="42" t="s">
        <v>1613</v>
      </c>
    </row>
    <row r="178" spans="1:5" x14ac:dyDescent="0.35">
      <c r="A178" s="297"/>
      <c r="B178" s="42" t="s">
        <v>1615</v>
      </c>
      <c r="C178" s="42" t="s">
        <v>374</v>
      </c>
      <c r="D178" s="315"/>
      <c r="E178" s="42" t="s">
        <v>1614</v>
      </c>
    </row>
    <row r="179" spans="1:5" x14ac:dyDescent="0.35">
      <c r="A179" s="297"/>
      <c r="B179" s="42" t="s">
        <v>1616</v>
      </c>
      <c r="C179" s="42" t="s">
        <v>482</v>
      </c>
      <c r="D179" s="315"/>
      <c r="E179" s="42" t="s">
        <v>1617</v>
      </c>
    </row>
    <row r="180" spans="1:5" x14ac:dyDescent="0.35">
      <c r="A180" s="297"/>
      <c r="B180" s="42" t="s">
        <v>1618</v>
      </c>
      <c r="C180" s="42" t="s">
        <v>482</v>
      </c>
      <c r="D180" s="315"/>
      <c r="E180" s="42" t="s">
        <v>1619</v>
      </c>
    </row>
    <row r="181" spans="1:5" x14ac:dyDescent="0.35">
      <c r="A181" s="297"/>
      <c r="B181" s="42" t="s">
        <v>1620</v>
      </c>
      <c r="C181" s="42" t="s">
        <v>374</v>
      </c>
      <c r="D181" s="315"/>
      <c r="E181" s="42" t="s">
        <v>1621</v>
      </c>
    </row>
    <row r="182" spans="1:5" x14ac:dyDescent="0.35">
      <c r="A182" s="297"/>
      <c r="B182" s="42" t="s">
        <v>1622</v>
      </c>
      <c r="C182" s="42" t="s">
        <v>482</v>
      </c>
      <c r="D182" s="315"/>
      <c r="E182" s="42" t="s">
        <v>1623</v>
      </c>
    </row>
    <row r="183" spans="1:5" x14ac:dyDescent="0.35">
      <c r="A183" s="297"/>
      <c r="B183" s="42" t="s">
        <v>1624</v>
      </c>
      <c r="C183" s="42" t="s">
        <v>396</v>
      </c>
      <c r="D183" s="315"/>
      <c r="E183" s="42" t="s">
        <v>1631</v>
      </c>
    </row>
    <row r="184" spans="1:5" x14ac:dyDescent="0.35">
      <c r="A184" s="175"/>
      <c r="B184" s="175"/>
      <c r="C184" s="175"/>
      <c r="D184" s="175"/>
      <c r="E184" s="175"/>
    </row>
    <row r="185" spans="1:5" x14ac:dyDescent="0.35">
      <c r="A185" s="175"/>
      <c r="B185" s="175"/>
      <c r="C185" s="175"/>
      <c r="D185" s="175"/>
      <c r="E185" s="175"/>
    </row>
    <row r="187" spans="1:5" x14ac:dyDescent="0.35">
      <c r="A187" s="368">
        <v>46231</v>
      </c>
      <c r="B187" s="93" t="s">
        <v>8</v>
      </c>
      <c r="C187" s="42" t="s">
        <v>351</v>
      </c>
      <c r="D187" s="312" t="s">
        <v>368</v>
      </c>
      <c r="E187" s="42" t="s">
        <v>389</v>
      </c>
    </row>
    <row r="188" spans="1:5" x14ac:dyDescent="0.35">
      <c r="A188" s="369"/>
      <c r="B188" s="42" t="s">
        <v>1629</v>
      </c>
      <c r="C188" s="42" t="s">
        <v>437</v>
      </c>
      <c r="D188" s="313"/>
      <c r="E188" s="42" t="s">
        <v>1632</v>
      </c>
    </row>
    <row r="189" spans="1:5" x14ac:dyDescent="0.35">
      <c r="A189" s="369"/>
      <c r="B189" s="42" t="s">
        <v>1633</v>
      </c>
      <c r="C189" s="42" t="s">
        <v>351</v>
      </c>
      <c r="D189" s="313"/>
      <c r="E189" s="42" t="s">
        <v>1634</v>
      </c>
    </row>
    <row r="190" spans="1:5" x14ac:dyDescent="0.35">
      <c r="A190" s="369"/>
      <c r="B190" s="42" t="s">
        <v>1690</v>
      </c>
      <c r="C190" s="42" t="s">
        <v>374</v>
      </c>
      <c r="D190" s="313"/>
      <c r="E190" s="42" t="s">
        <v>1691</v>
      </c>
    </row>
    <row r="191" spans="1:5" x14ac:dyDescent="0.35">
      <c r="A191" s="369"/>
      <c r="B191" s="42" t="s">
        <v>1692</v>
      </c>
      <c r="C191" s="42" t="s">
        <v>393</v>
      </c>
      <c r="D191" s="313"/>
      <c r="E191" s="42" t="s">
        <v>1693</v>
      </c>
    </row>
    <row r="192" spans="1:5" x14ac:dyDescent="0.35">
      <c r="A192" s="369"/>
      <c r="B192" s="42" t="s">
        <v>1694</v>
      </c>
      <c r="C192" s="42" t="s">
        <v>437</v>
      </c>
      <c r="D192" s="313"/>
      <c r="E192" s="42" t="s">
        <v>1741</v>
      </c>
    </row>
    <row r="193" spans="1:5" x14ac:dyDescent="0.35">
      <c r="A193" s="369"/>
      <c r="B193" s="42" t="s">
        <v>1695</v>
      </c>
      <c r="C193" s="42" t="s">
        <v>374</v>
      </c>
      <c r="D193" s="313"/>
      <c r="E193" s="42" t="s">
        <v>1695</v>
      </c>
    </row>
    <row r="194" spans="1:5" x14ac:dyDescent="0.35">
      <c r="A194" s="370"/>
      <c r="B194" s="42" t="s">
        <v>1696</v>
      </c>
      <c r="C194" s="42" t="s">
        <v>437</v>
      </c>
      <c r="D194" s="314"/>
      <c r="E194" s="42" t="s">
        <v>1696</v>
      </c>
    </row>
    <row r="195" spans="1:5" x14ac:dyDescent="0.35">
      <c r="A195" s="175"/>
      <c r="B195" s="175"/>
      <c r="C195" s="175"/>
      <c r="D195" s="175"/>
      <c r="E195" s="175"/>
    </row>
    <row r="196" spans="1:5" x14ac:dyDescent="0.35">
      <c r="A196" s="175"/>
      <c r="B196" s="175"/>
      <c r="C196" s="175"/>
      <c r="D196" s="175"/>
      <c r="E196" s="175"/>
    </row>
    <row r="198" spans="1:5" x14ac:dyDescent="0.35">
      <c r="A198" s="297">
        <v>46232</v>
      </c>
      <c r="B198" s="93" t="s">
        <v>8</v>
      </c>
      <c r="C198" s="42" t="s">
        <v>437</v>
      </c>
      <c r="D198" s="315" t="s">
        <v>1746</v>
      </c>
      <c r="E198" s="42" t="s">
        <v>389</v>
      </c>
    </row>
    <row r="199" spans="1:5" x14ac:dyDescent="0.35">
      <c r="A199" s="315"/>
      <c r="B199" s="42" t="s">
        <v>1732</v>
      </c>
      <c r="C199" s="42" t="s">
        <v>360</v>
      </c>
      <c r="D199" s="315"/>
      <c r="E199" s="42" t="s">
        <v>1742</v>
      </c>
    </row>
    <row r="200" spans="1:5" x14ac:dyDescent="0.35">
      <c r="A200" s="315"/>
      <c r="B200" s="42" t="s">
        <v>1733</v>
      </c>
      <c r="C200" s="42" t="s">
        <v>360</v>
      </c>
      <c r="D200" s="315"/>
      <c r="E200" s="42" t="s">
        <v>1734</v>
      </c>
    </row>
    <row r="201" spans="1:5" x14ac:dyDescent="0.35">
      <c r="A201" s="315"/>
      <c r="B201" s="42" t="s">
        <v>1735</v>
      </c>
      <c r="C201" s="42" t="s">
        <v>374</v>
      </c>
      <c r="D201" s="315"/>
      <c r="E201" s="42" t="s">
        <v>1736</v>
      </c>
    </row>
    <row r="202" spans="1:5" x14ac:dyDescent="0.35">
      <c r="A202" s="315"/>
      <c r="B202" s="42" t="s">
        <v>1737</v>
      </c>
      <c r="C202" s="42" t="s">
        <v>437</v>
      </c>
      <c r="D202" s="315"/>
      <c r="E202" s="42" t="s">
        <v>1743</v>
      </c>
    </row>
    <row r="203" spans="1:5" x14ac:dyDescent="0.35">
      <c r="A203" s="315"/>
      <c r="B203" s="42" t="s">
        <v>1738</v>
      </c>
      <c r="C203" s="42" t="s">
        <v>396</v>
      </c>
      <c r="D203" s="315"/>
      <c r="E203" s="42" t="s">
        <v>1744</v>
      </c>
    </row>
    <row r="204" spans="1:5" x14ac:dyDescent="0.35">
      <c r="A204" s="315"/>
      <c r="B204" s="42" t="s">
        <v>1739</v>
      </c>
      <c r="C204" s="42" t="s">
        <v>437</v>
      </c>
      <c r="D204" s="315"/>
      <c r="E204" s="42" t="s">
        <v>1739</v>
      </c>
    </row>
    <row r="205" spans="1:5" x14ac:dyDescent="0.35">
      <c r="A205" s="315"/>
      <c r="B205" s="42" t="s">
        <v>1740</v>
      </c>
      <c r="C205" s="42" t="s">
        <v>434</v>
      </c>
      <c r="D205" s="315"/>
      <c r="E205" s="42" t="s">
        <v>1745</v>
      </c>
    </row>
    <row r="206" spans="1:5" ht="15.75" customHeight="1" x14ac:dyDescent="0.35">
      <c r="A206" s="175"/>
      <c r="B206" s="175"/>
      <c r="C206" s="175"/>
      <c r="D206" s="175"/>
      <c r="E206" s="175"/>
    </row>
    <row r="207" spans="1:5" x14ac:dyDescent="0.35">
      <c r="A207" s="175"/>
      <c r="B207" s="175"/>
      <c r="C207" s="175"/>
      <c r="D207" s="175"/>
      <c r="E207" s="175"/>
    </row>
    <row r="209" spans="1:5" x14ac:dyDescent="0.35">
      <c r="A209" s="297">
        <v>46233</v>
      </c>
      <c r="B209" s="93" t="s">
        <v>8</v>
      </c>
      <c r="C209" s="42" t="s">
        <v>437</v>
      </c>
      <c r="D209" s="315" t="s">
        <v>1817</v>
      </c>
      <c r="E209" s="42" t="s">
        <v>389</v>
      </c>
    </row>
    <row r="210" spans="1:5" x14ac:dyDescent="0.35">
      <c r="A210" s="297"/>
      <c r="B210" s="42" t="s">
        <v>1738</v>
      </c>
      <c r="C210" s="42" t="s">
        <v>396</v>
      </c>
      <c r="D210" s="315"/>
      <c r="E210" s="42" t="s">
        <v>1744</v>
      </c>
    </row>
    <row r="211" spans="1:5" x14ac:dyDescent="0.35">
      <c r="A211" s="297"/>
      <c r="B211" s="42" t="s">
        <v>1808</v>
      </c>
      <c r="C211" s="42" t="s">
        <v>393</v>
      </c>
      <c r="D211" s="315"/>
      <c r="E211" s="42" t="s">
        <v>1811</v>
      </c>
    </row>
    <row r="212" spans="1:5" x14ac:dyDescent="0.35">
      <c r="A212" s="297"/>
      <c r="B212" s="42" t="s">
        <v>1884</v>
      </c>
      <c r="C212" s="42" t="s">
        <v>393</v>
      </c>
      <c r="D212" s="315"/>
      <c r="E212" s="42" t="s">
        <v>1814</v>
      </c>
    </row>
    <row r="213" spans="1:5" x14ac:dyDescent="0.35">
      <c r="A213" s="297"/>
      <c r="B213" s="42" t="s">
        <v>1809</v>
      </c>
      <c r="C213" s="42" t="s">
        <v>434</v>
      </c>
      <c r="D213" s="315"/>
      <c r="E213" s="42" t="s">
        <v>1815</v>
      </c>
    </row>
    <row r="214" spans="1:5" x14ac:dyDescent="0.35">
      <c r="A214" s="297"/>
      <c r="B214" s="42" t="s">
        <v>1810</v>
      </c>
      <c r="C214" s="42" t="s">
        <v>419</v>
      </c>
      <c r="D214" s="315"/>
      <c r="E214" s="42" t="s">
        <v>1816</v>
      </c>
    </row>
    <row r="215" spans="1:5" x14ac:dyDescent="0.35">
      <c r="A215" s="297"/>
      <c r="B215" s="42" t="s">
        <v>1813</v>
      </c>
      <c r="C215" s="42" t="s">
        <v>437</v>
      </c>
      <c r="D215" s="315"/>
      <c r="E215" s="42"/>
    </row>
    <row r="216" spans="1:5" x14ac:dyDescent="0.35">
      <c r="A216" s="42"/>
      <c r="B216" s="42"/>
      <c r="C216" s="42"/>
      <c r="D216" s="315"/>
      <c r="E216" s="42"/>
    </row>
    <row r="217" spans="1:5" x14ac:dyDescent="0.35">
      <c r="A217" s="175"/>
      <c r="B217" s="175"/>
      <c r="C217" s="175"/>
      <c r="D217" s="175"/>
      <c r="E217" s="175"/>
    </row>
    <row r="218" spans="1:5" x14ac:dyDescent="0.35">
      <c r="A218" s="175"/>
      <c r="B218" s="175"/>
      <c r="C218" s="175"/>
      <c r="D218" s="175"/>
      <c r="E218" s="175"/>
    </row>
    <row r="220" spans="1:5" x14ac:dyDescent="0.35">
      <c r="A220" s="494">
        <v>46234</v>
      </c>
      <c r="B220" s="93" t="s">
        <v>8</v>
      </c>
      <c r="C220" s="42" t="s">
        <v>437</v>
      </c>
      <c r="D220" s="315" t="s">
        <v>346</v>
      </c>
      <c r="E220" s="42" t="s">
        <v>389</v>
      </c>
    </row>
    <row r="221" spans="1:5" x14ac:dyDescent="0.35">
      <c r="A221" s="494"/>
      <c r="B221" s="42" t="s">
        <v>1738</v>
      </c>
      <c r="C221" s="42" t="s">
        <v>393</v>
      </c>
      <c r="D221" s="315"/>
      <c r="E221" s="42" t="s">
        <v>1886</v>
      </c>
    </row>
    <row r="222" spans="1:5" s="492" customFormat="1" ht="43.5" x14ac:dyDescent="0.35">
      <c r="A222" s="494"/>
      <c r="B222" s="493" t="s">
        <v>1883</v>
      </c>
      <c r="C222" s="493" t="s">
        <v>393</v>
      </c>
      <c r="D222" s="315"/>
      <c r="E222" s="495" t="s">
        <v>1887</v>
      </c>
    </row>
    <row r="223" spans="1:5" x14ac:dyDescent="0.35">
      <c r="A223" s="494"/>
      <c r="B223" s="42" t="s">
        <v>1885</v>
      </c>
      <c r="C223" s="42" t="s">
        <v>396</v>
      </c>
      <c r="D223" s="315"/>
      <c r="E223" s="42" t="s">
        <v>1888</v>
      </c>
    </row>
    <row r="224" spans="1:5" ht="15" customHeight="1" x14ac:dyDescent="0.35">
      <c r="A224" s="494"/>
      <c r="B224" s="42" t="s">
        <v>1889</v>
      </c>
      <c r="C224" s="42" t="s">
        <v>393</v>
      </c>
      <c r="D224" s="315"/>
      <c r="E224" s="93" t="s">
        <v>1890</v>
      </c>
    </row>
    <row r="225" spans="1:5" x14ac:dyDescent="0.35">
      <c r="A225" s="175"/>
      <c r="B225" s="175"/>
      <c r="C225" s="175"/>
      <c r="D225" s="175"/>
      <c r="E225" s="175"/>
    </row>
    <row r="226" spans="1:5" x14ac:dyDescent="0.35">
      <c r="A226" s="175"/>
      <c r="B226" s="175"/>
      <c r="C226" s="175"/>
      <c r="D226" s="175"/>
      <c r="E226" s="175"/>
    </row>
    <row r="228" spans="1:5" x14ac:dyDescent="0.35">
      <c r="A228" s="297">
        <v>46237</v>
      </c>
      <c r="B228" s="93" t="s">
        <v>8</v>
      </c>
      <c r="C228" s="42" t="s">
        <v>437</v>
      </c>
      <c r="D228" s="315" t="s">
        <v>368</v>
      </c>
      <c r="E228" s="42" t="s">
        <v>389</v>
      </c>
    </row>
    <row r="229" spans="1:5" x14ac:dyDescent="0.35">
      <c r="A229" s="315"/>
      <c r="B229" s="42" t="s">
        <v>1738</v>
      </c>
      <c r="C229" s="42" t="s">
        <v>393</v>
      </c>
      <c r="D229" s="315"/>
      <c r="E229" s="42" t="s">
        <v>1893</v>
      </c>
    </row>
    <row r="230" spans="1:5" x14ac:dyDescent="0.35">
      <c r="A230" s="315"/>
      <c r="B230" s="42" t="s">
        <v>1891</v>
      </c>
      <c r="C230" s="42" t="s">
        <v>214</v>
      </c>
      <c r="D230" s="315"/>
      <c r="E230" s="93" t="s">
        <v>1894</v>
      </c>
    </row>
    <row r="231" spans="1:5" x14ac:dyDescent="0.35">
      <c r="A231" s="315"/>
      <c r="B231" s="42" t="s">
        <v>1892</v>
      </c>
      <c r="C231" s="42" t="s">
        <v>393</v>
      </c>
      <c r="D231" s="315"/>
      <c r="E231" s="93" t="s">
        <v>1895</v>
      </c>
    </row>
    <row r="232" spans="1:5" x14ac:dyDescent="0.35">
      <c r="A232" s="315"/>
      <c r="B232" s="42" t="s">
        <v>1971</v>
      </c>
      <c r="C232" s="42" t="s">
        <v>437</v>
      </c>
      <c r="D232" s="315"/>
      <c r="E232" s="42" t="s">
        <v>1975</v>
      </c>
    </row>
    <row r="233" spans="1:5" x14ac:dyDescent="0.35">
      <c r="A233" s="315"/>
      <c r="B233" s="42" t="s">
        <v>1905</v>
      </c>
      <c r="C233" s="42" t="s">
        <v>405</v>
      </c>
      <c r="D233" s="315"/>
      <c r="E233" s="42" t="s">
        <v>1906</v>
      </c>
    </row>
    <row r="234" spans="1:5" x14ac:dyDescent="0.35">
      <c r="A234" s="175"/>
      <c r="B234" s="175"/>
      <c r="C234" s="175"/>
      <c r="D234" s="175"/>
      <c r="E234" s="175"/>
    </row>
    <row r="235" spans="1:5" x14ac:dyDescent="0.35">
      <c r="A235" s="175"/>
      <c r="B235" s="175"/>
      <c r="C235" s="175"/>
      <c r="D235" s="175"/>
      <c r="E235" s="175"/>
    </row>
    <row r="237" spans="1:5" x14ac:dyDescent="0.35">
      <c r="B237" s="93" t="s">
        <v>8</v>
      </c>
      <c r="C237" t="s">
        <v>214</v>
      </c>
      <c r="E237" s="42" t="s">
        <v>81</v>
      </c>
    </row>
    <row r="238" spans="1:5" x14ac:dyDescent="0.35">
      <c r="A238" s="105">
        <v>46238</v>
      </c>
      <c r="B238" t="s">
        <v>1972</v>
      </c>
      <c r="C238" t="s">
        <v>490</v>
      </c>
      <c r="E238" t="s">
        <v>1973</v>
      </c>
    </row>
    <row r="239" spans="1:5" x14ac:dyDescent="0.35">
      <c r="B239" t="s">
        <v>1974</v>
      </c>
      <c r="C239" t="s">
        <v>437</v>
      </c>
    </row>
    <row r="240" spans="1:5" x14ac:dyDescent="0.35">
      <c r="B240" s="42" t="s">
        <v>1976</v>
      </c>
      <c r="E240" s="42" t="s">
        <v>1893</v>
      </c>
    </row>
    <row r="241" spans="2:2" x14ac:dyDescent="0.35">
      <c r="B241" t="s">
        <v>1981</v>
      </c>
    </row>
  </sheetData>
  <mergeCells count="49">
    <mergeCell ref="A228:A233"/>
    <mergeCell ref="D228:D233"/>
    <mergeCell ref="D198:D205"/>
    <mergeCell ref="A198:A205"/>
    <mergeCell ref="A209:A215"/>
    <mergeCell ref="D209:D216"/>
    <mergeCell ref="A220:A224"/>
    <mergeCell ref="D220:D224"/>
    <mergeCell ref="A176:A183"/>
    <mergeCell ref="D176:D183"/>
    <mergeCell ref="A187:A194"/>
    <mergeCell ref="D187:D194"/>
    <mergeCell ref="A150:A155"/>
    <mergeCell ref="D150:D155"/>
    <mergeCell ref="A159:A163"/>
    <mergeCell ref="D159:D163"/>
    <mergeCell ref="D84:D89"/>
    <mergeCell ref="A84:A89"/>
    <mergeCell ref="A93:A98"/>
    <mergeCell ref="D93:D98"/>
    <mergeCell ref="D102:D107"/>
    <mergeCell ref="A102:A107"/>
    <mergeCell ref="D111:D115"/>
    <mergeCell ref="A111:A115"/>
    <mergeCell ref="D119:D126"/>
    <mergeCell ref="A130:A136"/>
    <mergeCell ref="D130:D136"/>
    <mergeCell ref="D140:D146"/>
    <mergeCell ref="D3:D5"/>
    <mergeCell ref="D20:D24"/>
    <mergeCell ref="D9:D18"/>
    <mergeCell ref="A9:A18"/>
    <mergeCell ref="A20:A24"/>
    <mergeCell ref="D167:D172"/>
    <mergeCell ref="A167:A172"/>
    <mergeCell ref="A140:A146"/>
    <mergeCell ref="A119:A126"/>
    <mergeCell ref="A27:A33"/>
    <mergeCell ref="D27:D33"/>
    <mergeCell ref="A36:A41"/>
    <mergeCell ref="D36:D40"/>
    <mergeCell ref="A44:A50"/>
    <mergeCell ref="D44:D50"/>
    <mergeCell ref="D74:D80"/>
    <mergeCell ref="A74:A80"/>
    <mergeCell ref="A53:A59"/>
    <mergeCell ref="D53:D59"/>
    <mergeCell ref="D62:D70"/>
    <mergeCell ref="A62:A7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D7F15-03E2-42B4-89A5-0C691557715A}">
  <dimension ref="A1:E146"/>
  <sheetViews>
    <sheetView topLeftCell="A18" workbookViewId="0">
      <selection activeCell="B99" sqref="B99"/>
    </sheetView>
  </sheetViews>
  <sheetFormatPr defaultRowHeight="14.5" x14ac:dyDescent="0.35"/>
  <cols>
    <col min="1" max="1" width="11.54296875" customWidth="1"/>
    <col min="2" max="2" width="61" customWidth="1"/>
    <col min="3" max="3" width="11.81640625" style="94" customWidth="1"/>
    <col min="4" max="4" width="16.26953125" customWidth="1"/>
    <col min="5" max="5" width="77" style="100" bestFit="1" customWidth="1"/>
  </cols>
  <sheetData>
    <row r="1" spans="1:5" ht="29" x14ac:dyDescent="0.35">
      <c r="A1" s="1" t="s">
        <v>0</v>
      </c>
      <c r="B1" s="1" t="s">
        <v>1</v>
      </c>
      <c r="C1" s="209" t="s">
        <v>2</v>
      </c>
      <c r="D1" s="2" t="s">
        <v>3</v>
      </c>
      <c r="E1" s="2" t="s">
        <v>4</v>
      </c>
    </row>
    <row r="2" spans="1:5" x14ac:dyDescent="0.35">
      <c r="A2" s="10" t="s">
        <v>5</v>
      </c>
      <c r="B2" s="10"/>
      <c r="C2" s="11"/>
      <c r="D2" s="11"/>
      <c r="E2" s="201"/>
    </row>
    <row r="3" spans="1:5" x14ac:dyDescent="0.35">
      <c r="A3" s="5">
        <v>46204</v>
      </c>
      <c r="B3" s="6" t="s">
        <v>6</v>
      </c>
      <c r="C3" s="7">
        <v>2</v>
      </c>
      <c r="D3" s="298">
        <v>9</v>
      </c>
      <c r="E3" s="36"/>
    </row>
    <row r="4" spans="1:5" x14ac:dyDescent="0.35">
      <c r="A4" s="5">
        <v>46204</v>
      </c>
      <c r="B4" s="6" t="s">
        <v>7</v>
      </c>
      <c r="C4" s="7">
        <v>6</v>
      </c>
      <c r="D4" s="299"/>
      <c r="E4" s="36"/>
    </row>
    <row r="5" spans="1:5" x14ac:dyDescent="0.35">
      <c r="A5" s="5">
        <v>46204</v>
      </c>
      <c r="B5" s="6" t="s">
        <v>8</v>
      </c>
      <c r="C5" s="7">
        <v>1</v>
      </c>
      <c r="D5" s="300"/>
      <c r="E5" s="36"/>
    </row>
    <row r="6" spans="1:5" x14ac:dyDescent="0.35">
      <c r="A6" s="12"/>
      <c r="B6" s="12"/>
      <c r="C6" s="31"/>
      <c r="D6" s="31"/>
      <c r="E6" s="469"/>
    </row>
    <row r="7" spans="1:5" x14ac:dyDescent="0.35">
      <c r="A7" s="9" t="s">
        <v>9</v>
      </c>
      <c r="B7" s="32"/>
      <c r="C7" s="28"/>
      <c r="D7" s="28"/>
      <c r="E7" s="108"/>
    </row>
    <row r="8" spans="1:5" x14ac:dyDescent="0.35">
      <c r="A8" s="391">
        <v>46204</v>
      </c>
      <c r="B8" s="33" t="s">
        <v>401</v>
      </c>
      <c r="C8" s="44">
        <v>1</v>
      </c>
      <c r="D8" s="389">
        <v>9</v>
      </c>
      <c r="E8" s="99" t="s">
        <v>532</v>
      </c>
    </row>
    <row r="9" spans="1:5" x14ac:dyDescent="0.35">
      <c r="A9" s="392"/>
      <c r="B9" s="32" t="s">
        <v>357</v>
      </c>
      <c r="C9" s="44">
        <v>1</v>
      </c>
      <c r="D9" s="389"/>
      <c r="E9" s="99" t="s">
        <v>533</v>
      </c>
    </row>
    <row r="10" spans="1:5" ht="29" x14ac:dyDescent="0.35">
      <c r="A10" s="392"/>
      <c r="B10" s="33" t="s">
        <v>6</v>
      </c>
      <c r="C10" s="44">
        <v>2</v>
      </c>
      <c r="D10" s="389"/>
      <c r="E10" s="99" t="s">
        <v>534</v>
      </c>
    </row>
    <row r="11" spans="1:5" x14ac:dyDescent="0.35">
      <c r="A11" s="392"/>
      <c r="B11" s="33" t="s">
        <v>535</v>
      </c>
      <c r="C11" s="44">
        <v>2</v>
      </c>
      <c r="D11" s="389"/>
      <c r="E11" s="99" t="s">
        <v>536</v>
      </c>
    </row>
    <row r="12" spans="1:5" x14ac:dyDescent="0.35">
      <c r="A12" s="393"/>
      <c r="B12" s="33" t="s">
        <v>537</v>
      </c>
      <c r="C12" s="44">
        <v>3</v>
      </c>
      <c r="D12" s="389"/>
      <c r="E12" s="99" t="s">
        <v>538</v>
      </c>
    </row>
    <row r="13" spans="1:5" x14ac:dyDescent="0.35">
      <c r="A13" s="12"/>
      <c r="B13" s="277"/>
      <c r="C13" s="189"/>
      <c r="D13" s="189"/>
      <c r="E13" s="470"/>
    </row>
    <row r="14" spans="1:5" ht="29" x14ac:dyDescent="0.35">
      <c r="A14" s="291">
        <v>46205</v>
      </c>
      <c r="B14" s="33" t="s">
        <v>401</v>
      </c>
      <c r="C14" s="44">
        <v>1.5</v>
      </c>
      <c r="D14" s="390">
        <v>9</v>
      </c>
      <c r="E14" s="99" t="s">
        <v>539</v>
      </c>
    </row>
    <row r="15" spans="1:5" ht="58.5" customHeight="1" x14ac:dyDescent="0.35">
      <c r="A15" s="292"/>
      <c r="B15" s="149" t="s">
        <v>540</v>
      </c>
      <c r="C15" s="44">
        <v>5.5</v>
      </c>
      <c r="D15" s="390"/>
      <c r="E15" s="150" t="s">
        <v>541</v>
      </c>
    </row>
    <row r="16" spans="1:5" x14ac:dyDescent="0.35">
      <c r="A16" s="293"/>
      <c r="B16" s="33" t="s">
        <v>542</v>
      </c>
      <c r="C16" s="44">
        <v>2</v>
      </c>
      <c r="D16" s="390"/>
      <c r="E16" s="99" t="s">
        <v>543</v>
      </c>
    </row>
    <row r="17" spans="1:5" x14ac:dyDescent="0.35">
      <c r="A17" s="12"/>
      <c r="B17" s="12"/>
      <c r="C17" s="466"/>
      <c r="D17" s="466"/>
      <c r="E17" s="471"/>
    </row>
    <row r="18" spans="1:5" ht="29" x14ac:dyDescent="0.35">
      <c r="A18" s="291">
        <v>46206</v>
      </c>
      <c r="B18" s="3" t="s">
        <v>401</v>
      </c>
      <c r="C18" s="4">
        <v>1.5</v>
      </c>
      <c r="D18" s="301">
        <f>SUM(C18:C24)</f>
        <v>9</v>
      </c>
      <c r="E18" s="15" t="s">
        <v>539</v>
      </c>
    </row>
    <row r="19" spans="1:5" ht="14.5" customHeight="1" x14ac:dyDescent="0.35">
      <c r="A19" s="292"/>
      <c r="B19" s="33" t="s">
        <v>544</v>
      </c>
      <c r="C19" s="4">
        <v>2</v>
      </c>
      <c r="D19" s="302"/>
      <c r="E19" s="15" t="s">
        <v>545</v>
      </c>
    </row>
    <row r="20" spans="1:5" ht="14.5" customHeight="1" x14ac:dyDescent="0.35">
      <c r="A20" s="292"/>
      <c r="B20" s="3" t="s">
        <v>546</v>
      </c>
      <c r="C20" s="4">
        <v>2</v>
      </c>
      <c r="D20" s="302"/>
      <c r="E20" s="15" t="s">
        <v>547</v>
      </c>
    </row>
    <row r="21" spans="1:5" ht="14.5" customHeight="1" x14ac:dyDescent="0.35">
      <c r="A21" s="292"/>
      <c r="B21" s="3" t="s">
        <v>548</v>
      </c>
      <c r="C21" s="4">
        <v>0.5</v>
      </c>
      <c r="D21" s="302"/>
      <c r="E21" s="15" t="s">
        <v>549</v>
      </c>
    </row>
    <row r="22" spans="1:5" ht="14.5" customHeight="1" x14ac:dyDescent="0.35">
      <c r="A22" s="292"/>
      <c r="B22" s="3" t="s">
        <v>550</v>
      </c>
      <c r="C22" s="4">
        <v>0.5</v>
      </c>
      <c r="D22" s="302"/>
      <c r="E22" s="15" t="s">
        <v>551</v>
      </c>
    </row>
    <row r="23" spans="1:5" ht="14.5" customHeight="1" x14ac:dyDescent="0.35">
      <c r="A23" s="292"/>
      <c r="B23" s="3" t="s">
        <v>552</v>
      </c>
      <c r="C23" s="4">
        <v>1</v>
      </c>
      <c r="D23" s="302"/>
      <c r="E23" s="15" t="s">
        <v>553</v>
      </c>
    </row>
    <row r="24" spans="1:5" ht="14.5" customHeight="1" x14ac:dyDescent="0.35">
      <c r="A24" s="293"/>
      <c r="B24" s="3" t="s">
        <v>554</v>
      </c>
      <c r="C24" s="4">
        <v>1.5</v>
      </c>
      <c r="D24" s="303"/>
      <c r="E24" s="15" t="s">
        <v>555</v>
      </c>
    </row>
    <row r="25" spans="1:5" x14ac:dyDescent="0.35">
      <c r="A25" s="3"/>
      <c r="B25" s="3"/>
      <c r="C25" s="40"/>
      <c r="D25" s="3"/>
      <c r="E25" s="15"/>
    </row>
    <row r="26" spans="1:5" ht="29" x14ac:dyDescent="0.35">
      <c r="A26" s="394">
        <v>46209</v>
      </c>
      <c r="B26" s="42" t="s">
        <v>401</v>
      </c>
      <c r="C26" s="73">
        <v>1.5</v>
      </c>
      <c r="D26" s="315">
        <f>SUM(C26:C34)</f>
        <v>9</v>
      </c>
      <c r="E26" s="108" t="s">
        <v>539</v>
      </c>
    </row>
    <row r="27" spans="1:5" x14ac:dyDescent="0.35">
      <c r="A27" s="369"/>
      <c r="B27" s="42" t="s">
        <v>556</v>
      </c>
      <c r="C27" s="73">
        <v>0.5</v>
      </c>
      <c r="D27" s="315"/>
      <c r="E27" s="108" t="s">
        <v>557</v>
      </c>
    </row>
    <row r="28" spans="1:5" x14ac:dyDescent="0.35">
      <c r="A28" s="369"/>
      <c r="B28" s="42" t="s">
        <v>558</v>
      </c>
      <c r="C28" s="73">
        <v>0.5</v>
      </c>
      <c r="D28" s="315"/>
      <c r="E28" s="108" t="s">
        <v>557</v>
      </c>
    </row>
    <row r="29" spans="1:5" x14ac:dyDescent="0.35">
      <c r="A29" s="369"/>
      <c r="B29" s="42" t="s">
        <v>559</v>
      </c>
      <c r="C29" s="73">
        <v>0.5</v>
      </c>
      <c r="D29" s="315"/>
      <c r="E29" s="108" t="s">
        <v>557</v>
      </c>
    </row>
    <row r="30" spans="1:5" x14ac:dyDescent="0.35">
      <c r="A30" s="369"/>
      <c r="B30" s="148" t="s">
        <v>560</v>
      </c>
      <c r="C30" s="73">
        <v>0.5</v>
      </c>
      <c r="D30" s="315"/>
      <c r="E30" s="108" t="s">
        <v>557</v>
      </c>
    </row>
    <row r="31" spans="1:5" x14ac:dyDescent="0.35">
      <c r="A31" s="369"/>
      <c r="B31" s="42" t="s">
        <v>561</v>
      </c>
      <c r="C31" s="73">
        <v>1.5</v>
      </c>
      <c r="D31" s="315"/>
      <c r="E31" s="108" t="s">
        <v>562</v>
      </c>
    </row>
    <row r="32" spans="1:5" x14ac:dyDescent="0.35">
      <c r="A32" s="369"/>
      <c r="B32" s="42" t="s">
        <v>563</v>
      </c>
      <c r="C32" s="73">
        <v>1</v>
      </c>
      <c r="D32" s="315"/>
      <c r="E32" s="108" t="s">
        <v>564</v>
      </c>
    </row>
    <row r="33" spans="1:5" x14ac:dyDescent="0.35">
      <c r="A33" s="369"/>
      <c r="B33" s="42" t="s">
        <v>565</v>
      </c>
      <c r="C33" s="73">
        <v>1</v>
      </c>
      <c r="D33" s="315"/>
      <c r="E33" s="108" t="s">
        <v>566</v>
      </c>
    </row>
    <row r="34" spans="1:5" x14ac:dyDescent="0.35">
      <c r="A34" s="370"/>
      <c r="B34" s="42" t="s">
        <v>398</v>
      </c>
      <c r="C34" s="73">
        <v>2</v>
      </c>
      <c r="D34" s="315"/>
      <c r="E34" s="108" t="s">
        <v>400</v>
      </c>
    </row>
    <row r="36" spans="1:5" ht="29" x14ac:dyDescent="0.35">
      <c r="A36" s="368">
        <v>46210</v>
      </c>
      <c r="B36" s="42" t="s">
        <v>401</v>
      </c>
      <c r="C36" s="73">
        <v>1.5</v>
      </c>
      <c r="D36" s="312">
        <f>SUM(C36:C41)</f>
        <v>9</v>
      </c>
      <c r="E36" s="108" t="s">
        <v>539</v>
      </c>
    </row>
    <row r="37" spans="1:5" x14ac:dyDescent="0.35">
      <c r="A37" s="369"/>
      <c r="B37" s="42" t="s">
        <v>567</v>
      </c>
      <c r="C37" s="73">
        <v>1</v>
      </c>
      <c r="D37" s="313"/>
      <c r="E37" s="108" t="s">
        <v>568</v>
      </c>
    </row>
    <row r="38" spans="1:5" x14ac:dyDescent="0.35">
      <c r="A38" s="369"/>
      <c r="B38" s="42" t="s">
        <v>402</v>
      </c>
      <c r="C38" s="73">
        <v>1</v>
      </c>
      <c r="D38" s="313"/>
      <c r="E38" s="108" t="s">
        <v>403</v>
      </c>
    </row>
    <row r="39" spans="1:5" x14ac:dyDescent="0.35">
      <c r="A39" s="369"/>
      <c r="B39" s="42" t="s">
        <v>569</v>
      </c>
      <c r="C39" s="73">
        <v>2.5</v>
      </c>
      <c r="D39" s="313"/>
      <c r="E39" s="108" t="s">
        <v>570</v>
      </c>
    </row>
    <row r="40" spans="1:5" x14ac:dyDescent="0.35">
      <c r="A40" s="369"/>
      <c r="B40" s="42" t="s">
        <v>571</v>
      </c>
      <c r="C40" s="73">
        <v>2</v>
      </c>
      <c r="D40" s="313"/>
      <c r="E40" s="108"/>
    </row>
    <row r="41" spans="1:5" x14ac:dyDescent="0.35">
      <c r="A41" s="370"/>
      <c r="B41" s="42" t="s">
        <v>572</v>
      </c>
      <c r="C41" s="73">
        <v>1</v>
      </c>
      <c r="D41" s="314"/>
      <c r="E41" s="108"/>
    </row>
    <row r="43" spans="1:5" ht="29" x14ac:dyDescent="0.35">
      <c r="A43" s="297">
        <v>46211</v>
      </c>
      <c r="B43" s="42" t="s">
        <v>401</v>
      </c>
      <c r="C43" s="73">
        <v>2</v>
      </c>
      <c r="D43" s="312">
        <f>SUM(C43:C47)</f>
        <v>9</v>
      </c>
      <c r="E43" s="108" t="s">
        <v>573</v>
      </c>
    </row>
    <row r="44" spans="1:5" x14ac:dyDescent="0.35">
      <c r="A44" s="297"/>
      <c r="B44" s="42" t="s">
        <v>574</v>
      </c>
      <c r="C44" s="73">
        <v>2</v>
      </c>
      <c r="D44" s="313"/>
      <c r="E44" s="108" t="s">
        <v>575</v>
      </c>
    </row>
    <row r="45" spans="1:5" x14ac:dyDescent="0.35">
      <c r="A45" s="297"/>
      <c r="B45" s="42" t="s">
        <v>576</v>
      </c>
      <c r="C45" s="73">
        <v>1</v>
      </c>
      <c r="D45" s="313"/>
      <c r="E45" s="108" t="s">
        <v>403</v>
      </c>
    </row>
    <row r="46" spans="1:5" x14ac:dyDescent="0.35">
      <c r="A46" s="297"/>
      <c r="B46" s="42" t="s">
        <v>577</v>
      </c>
      <c r="C46" s="73">
        <v>3</v>
      </c>
      <c r="D46" s="313"/>
      <c r="E46" s="108" t="s">
        <v>578</v>
      </c>
    </row>
    <row r="47" spans="1:5" x14ac:dyDescent="0.35">
      <c r="A47" s="297"/>
      <c r="B47" s="42" t="s">
        <v>579</v>
      </c>
      <c r="C47" s="73">
        <v>1</v>
      </c>
      <c r="D47" s="314"/>
      <c r="E47" s="108"/>
    </row>
    <row r="49" spans="1:5" ht="29" x14ac:dyDescent="0.35">
      <c r="A49" s="297">
        <v>46212</v>
      </c>
      <c r="B49" s="42" t="s">
        <v>401</v>
      </c>
      <c r="C49" s="73">
        <v>2</v>
      </c>
      <c r="D49" s="315">
        <f>SUM(C49:C53)</f>
        <v>9</v>
      </c>
      <c r="E49" s="108" t="s">
        <v>573</v>
      </c>
    </row>
    <row r="50" spans="1:5" x14ac:dyDescent="0.35">
      <c r="A50" s="297"/>
      <c r="B50" s="42" t="s">
        <v>580</v>
      </c>
      <c r="C50" s="73">
        <v>2</v>
      </c>
      <c r="D50" s="315"/>
      <c r="E50" s="108" t="s">
        <v>581</v>
      </c>
    </row>
    <row r="51" spans="1:5" x14ac:dyDescent="0.35">
      <c r="A51" s="297"/>
      <c r="B51" s="42" t="s">
        <v>424</v>
      </c>
      <c r="C51" s="73">
        <v>2</v>
      </c>
      <c r="D51" s="315"/>
      <c r="E51" s="100" t="s">
        <v>425</v>
      </c>
    </row>
    <row r="52" spans="1:5" x14ac:dyDescent="0.35">
      <c r="A52" s="297"/>
      <c r="B52" s="42" t="s">
        <v>426</v>
      </c>
      <c r="C52" s="73">
        <v>1</v>
      </c>
      <c r="D52" s="315"/>
      <c r="E52" s="108" t="s">
        <v>428</v>
      </c>
    </row>
    <row r="53" spans="1:5" x14ac:dyDescent="0.35">
      <c r="A53" s="297"/>
      <c r="B53" s="42" t="s">
        <v>579</v>
      </c>
      <c r="C53" s="73">
        <v>2</v>
      </c>
      <c r="D53" s="315"/>
      <c r="E53" s="108"/>
    </row>
    <row r="55" spans="1:5" ht="29" x14ac:dyDescent="0.35">
      <c r="A55" s="368">
        <v>46213</v>
      </c>
      <c r="B55" s="42" t="s">
        <v>401</v>
      </c>
      <c r="C55" s="73">
        <v>2</v>
      </c>
      <c r="D55" s="315">
        <f>SUM(C55:C59)</f>
        <v>9</v>
      </c>
      <c r="E55" s="108" t="s">
        <v>573</v>
      </c>
    </row>
    <row r="56" spans="1:5" ht="14.5" customHeight="1" x14ac:dyDescent="0.35">
      <c r="A56" s="313"/>
      <c r="B56" s="42" t="s">
        <v>582</v>
      </c>
      <c r="C56" s="73">
        <v>1</v>
      </c>
      <c r="D56" s="315"/>
      <c r="E56" s="108"/>
    </row>
    <row r="57" spans="1:5" ht="29" x14ac:dyDescent="0.35">
      <c r="A57" s="313"/>
      <c r="B57" s="42" t="s">
        <v>583</v>
      </c>
      <c r="C57" s="73">
        <v>3</v>
      </c>
      <c r="D57" s="315"/>
      <c r="E57" s="108" t="s">
        <v>584</v>
      </c>
    </row>
    <row r="58" spans="1:5" ht="29" x14ac:dyDescent="0.35">
      <c r="A58" s="313"/>
      <c r="B58" s="42" t="s">
        <v>585</v>
      </c>
      <c r="C58" s="73">
        <v>2</v>
      </c>
      <c r="D58" s="315"/>
      <c r="E58" s="108" t="s">
        <v>586</v>
      </c>
    </row>
    <row r="59" spans="1:5" x14ac:dyDescent="0.35">
      <c r="A59" s="314"/>
      <c r="B59" s="42" t="s">
        <v>441</v>
      </c>
      <c r="C59" s="73">
        <v>1</v>
      </c>
      <c r="D59" s="315"/>
      <c r="E59" s="108"/>
    </row>
    <row r="61" spans="1:5" ht="29" x14ac:dyDescent="0.35">
      <c r="A61" s="297">
        <v>46216</v>
      </c>
      <c r="B61" s="42" t="s">
        <v>401</v>
      </c>
      <c r="C61" s="73">
        <v>2</v>
      </c>
      <c r="D61" s="315">
        <f>SUM(C61:C65)</f>
        <v>9</v>
      </c>
      <c r="E61" s="108" t="s">
        <v>573</v>
      </c>
    </row>
    <row r="62" spans="1:5" ht="29" x14ac:dyDescent="0.35">
      <c r="A62" s="315"/>
      <c r="B62" s="42" t="s">
        <v>587</v>
      </c>
      <c r="C62" s="73">
        <v>2</v>
      </c>
      <c r="D62" s="315"/>
      <c r="E62" s="108" t="s">
        <v>584</v>
      </c>
    </row>
    <row r="63" spans="1:5" ht="29" x14ac:dyDescent="0.35">
      <c r="A63" s="315"/>
      <c r="B63" s="42" t="s">
        <v>588</v>
      </c>
      <c r="C63" s="73">
        <v>2</v>
      </c>
      <c r="D63" s="315"/>
      <c r="E63" s="108" t="s">
        <v>586</v>
      </c>
    </row>
    <row r="64" spans="1:5" x14ac:dyDescent="0.35">
      <c r="A64" s="315"/>
      <c r="B64" s="42" t="s">
        <v>589</v>
      </c>
      <c r="C64" s="73">
        <v>1</v>
      </c>
      <c r="D64" s="315"/>
      <c r="E64" s="108" t="s">
        <v>590</v>
      </c>
    </row>
    <row r="65" spans="1:5" x14ac:dyDescent="0.35">
      <c r="A65" s="315"/>
      <c r="B65" s="42" t="s">
        <v>591</v>
      </c>
      <c r="C65" s="73">
        <v>2</v>
      </c>
      <c r="D65" s="315"/>
      <c r="E65" s="108" t="s">
        <v>592</v>
      </c>
    </row>
    <row r="67" spans="1:5" ht="29" x14ac:dyDescent="0.35">
      <c r="A67" s="297">
        <v>46217</v>
      </c>
      <c r="B67" s="42" t="s">
        <v>401</v>
      </c>
      <c r="C67" s="73">
        <v>2</v>
      </c>
      <c r="D67" s="315">
        <f>SUM(C67:C71)</f>
        <v>9</v>
      </c>
      <c r="E67" s="108" t="s">
        <v>573</v>
      </c>
    </row>
    <row r="68" spans="1:5" x14ac:dyDescent="0.35">
      <c r="A68" s="315"/>
      <c r="B68" s="42" t="s">
        <v>593</v>
      </c>
      <c r="C68" s="73">
        <v>2</v>
      </c>
      <c r="D68" s="315"/>
      <c r="E68" s="108" t="s">
        <v>594</v>
      </c>
    </row>
    <row r="69" spans="1:5" x14ac:dyDescent="0.35">
      <c r="A69" s="315"/>
      <c r="B69" s="42" t="s">
        <v>591</v>
      </c>
      <c r="C69" s="73">
        <v>2</v>
      </c>
      <c r="D69" s="315"/>
      <c r="E69" s="108" t="s">
        <v>595</v>
      </c>
    </row>
    <row r="70" spans="1:5" x14ac:dyDescent="0.35">
      <c r="A70" s="315"/>
      <c r="B70" s="42" t="s">
        <v>596</v>
      </c>
      <c r="C70" s="73">
        <v>1</v>
      </c>
      <c r="D70" s="315"/>
      <c r="E70" s="108"/>
    </row>
    <row r="71" spans="1:5" x14ac:dyDescent="0.35">
      <c r="A71" s="315"/>
      <c r="B71" s="42" t="s">
        <v>597</v>
      </c>
      <c r="C71" s="73">
        <v>2</v>
      </c>
      <c r="D71" s="315"/>
      <c r="E71" s="108" t="s">
        <v>598</v>
      </c>
    </row>
    <row r="73" spans="1:5" ht="29" x14ac:dyDescent="0.35">
      <c r="A73" s="395">
        <v>46218</v>
      </c>
      <c r="B73" s="42" t="s">
        <v>401</v>
      </c>
      <c r="C73" s="73">
        <v>2</v>
      </c>
      <c r="D73" s="315">
        <f>C73+C74+C75</f>
        <v>9</v>
      </c>
      <c r="E73" s="108" t="s">
        <v>573</v>
      </c>
    </row>
    <row r="74" spans="1:5" x14ac:dyDescent="0.35">
      <c r="A74" s="395"/>
      <c r="B74" s="42" t="s">
        <v>599</v>
      </c>
      <c r="C74" s="73">
        <v>4</v>
      </c>
      <c r="D74" s="315"/>
      <c r="E74" s="108" t="s">
        <v>600</v>
      </c>
    </row>
    <row r="75" spans="1:5" x14ac:dyDescent="0.35">
      <c r="A75" s="395"/>
      <c r="B75" s="42" t="s">
        <v>579</v>
      </c>
      <c r="C75" s="73">
        <v>3</v>
      </c>
      <c r="D75" s="315"/>
      <c r="E75" s="108"/>
    </row>
    <row r="77" spans="1:5" ht="29" x14ac:dyDescent="0.35">
      <c r="A77" s="297">
        <v>46219</v>
      </c>
      <c r="B77" s="42" t="s">
        <v>401</v>
      </c>
      <c r="C77" s="73">
        <v>2</v>
      </c>
      <c r="D77" s="315">
        <f>SUM(C77:C81)</f>
        <v>11</v>
      </c>
      <c r="E77" s="108" t="s">
        <v>573</v>
      </c>
    </row>
    <row r="78" spans="1:5" ht="29" x14ac:dyDescent="0.35">
      <c r="A78" s="297"/>
      <c r="B78" s="42" t="s">
        <v>583</v>
      </c>
      <c r="C78" s="73">
        <v>3</v>
      </c>
      <c r="D78" s="315"/>
      <c r="E78" s="108" t="s">
        <v>584</v>
      </c>
    </row>
    <row r="79" spans="1:5" ht="29" x14ac:dyDescent="0.35">
      <c r="A79" s="297"/>
      <c r="B79" s="239" t="s">
        <v>601</v>
      </c>
      <c r="C79" s="73">
        <v>3</v>
      </c>
      <c r="D79" s="315"/>
      <c r="E79" s="108" t="s">
        <v>602</v>
      </c>
    </row>
    <row r="80" spans="1:5" ht="29" x14ac:dyDescent="0.35">
      <c r="A80" s="297"/>
      <c r="B80" s="42" t="s">
        <v>603</v>
      </c>
      <c r="C80" s="73">
        <v>2</v>
      </c>
      <c r="D80" s="315"/>
      <c r="E80" s="108" t="s">
        <v>586</v>
      </c>
    </row>
    <row r="81" spans="1:5" x14ac:dyDescent="0.35">
      <c r="A81" s="297"/>
      <c r="B81" s="42" t="s">
        <v>604</v>
      </c>
      <c r="C81" s="73">
        <v>1</v>
      </c>
      <c r="D81" s="315"/>
      <c r="E81" s="108"/>
    </row>
    <row r="83" spans="1:5" ht="29" x14ac:dyDescent="0.35">
      <c r="A83" s="297">
        <v>46220</v>
      </c>
      <c r="B83" s="42" t="s">
        <v>401</v>
      </c>
      <c r="C83" s="73">
        <v>2</v>
      </c>
      <c r="D83" s="315">
        <v>9</v>
      </c>
      <c r="E83" s="108" t="s">
        <v>573</v>
      </c>
    </row>
    <row r="84" spans="1:5" x14ac:dyDescent="0.35">
      <c r="A84" s="315"/>
      <c r="B84" s="42" t="s">
        <v>605</v>
      </c>
      <c r="C84" s="73">
        <v>4</v>
      </c>
      <c r="D84" s="315"/>
      <c r="E84" s="108" t="s">
        <v>606</v>
      </c>
    </row>
    <row r="85" spans="1:5" x14ac:dyDescent="0.35">
      <c r="A85" s="315"/>
      <c r="B85" s="42" t="s">
        <v>607</v>
      </c>
      <c r="C85" s="73">
        <v>2</v>
      </c>
      <c r="D85" s="315"/>
      <c r="E85" s="108" t="s">
        <v>608</v>
      </c>
    </row>
    <row r="86" spans="1:5" x14ac:dyDescent="0.35">
      <c r="A86" s="315"/>
      <c r="B86" s="42" t="s">
        <v>579</v>
      </c>
      <c r="C86" s="73">
        <v>1</v>
      </c>
      <c r="D86" s="315"/>
      <c r="E86" s="108"/>
    </row>
    <row r="88" spans="1:5" ht="29" x14ac:dyDescent="0.35">
      <c r="A88" s="395">
        <v>46223</v>
      </c>
      <c r="B88" t="s">
        <v>401</v>
      </c>
      <c r="C88" s="94">
        <v>2</v>
      </c>
      <c r="D88" s="364">
        <v>9</v>
      </c>
      <c r="E88" s="100" t="s">
        <v>573</v>
      </c>
    </row>
    <row r="89" spans="1:5" x14ac:dyDescent="0.35">
      <c r="A89" s="395"/>
      <c r="B89" t="s">
        <v>579</v>
      </c>
      <c r="C89" s="94">
        <v>3</v>
      </c>
      <c r="D89" s="364"/>
    </row>
    <row r="90" spans="1:5" x14ac:dyDescent="0.35">
      <c r="A90" s="395"/>
      <c r="B90" t="s">
        <v>609</v>
      </c>
      <c r="C90" s="94">
        <v>2</v>
      </c>
      <c r="D90" s="364"/>
    </row>
    <row r="91" spans="1:5" x14ac:dyDescent="0.35">
      <c r="A91" s="395"/>
      <c r="B91" t="s">
        <v>610</v>
      </c>
      <c r="C91" s="94">
        <v>1</v>
      </c>
      <c r="D91" s="364"/>
      <c r="E91" s="100" t="s">
        <v>611</v>
      </c>
    </row>
    <row r="93" spans="1:5" ht="29" x14ac:dyDescent="0.35">
      <c r="A93" s="368">
        <v>46224</v>
      </c>
      <c r="B93" s="543" t="s">
        <v>401</v>
      </c>
      <c r="C93" s="544">
        <v>2</v>
      </c>
      <c r="D93" s="315">
        <v>9</v>
      </c>
      <c r="E93" s="108" t="s">
        <v>573</v>
      </c>
    </row>
    <row r="94" spans="1:5" x14ac:dyDescent="0.35">
      <c r="A94" s="369"/>
      <c r="B94" s="42" t="s">
        <v>612</v>
      </c>
      <c r="C94" s="544">
        <v>2</v>
      </c>
      <c r="D94" s="315"/>
      <c r="E94" s="108" t="s">
        <v>1636</v>
      </c>
    </row>
    <row r="95" spans="1:5" ht="16.5" x14ac:dyDescent="0.45">
      <c r="A95" s="369"/>
      <c r="B95" s="546" t="s">
        <v>613</v>
      </c>
      <c r="C95" s="73">
        <v>1</v>
      </c>
      <c r="D95" s="315"/>
      <c r="E95" s="108" t="s">
        <v>1637</v>
      </c>
    </row>
    <row r="96" spans="1:5" x14ac:dyDescent="0.35">
      <c r="A96" s="369"/>
      <c r="B96" s="42" t="s">
        <v>579</v>
      </c>
      <c r="C96" s="73">
        <v>2</v>
      </c>
      <c r="D96" s="315"/>
      <c r="E96" s="108"/>
    </row>
    <row r="97" spans="1:5" x14ac:dyDescent="0.35">
      <c r="A97" s="370"/>
      <c r="B97" s="42" t="s">
        <v>424</v>
      </c>
      <c r="C97" s="73">
        <v>1</v>
      </c>
      <c r="D97" s="42"/>
      <c r="E97" s="108"/>
    </row>
    <row r="99" spans="1:5" ht="29" x14ac:dyDescent="0.35">
      <c r="A99" s="442">
        <v>46225</v>
      </c>
      <c r="B99" s="158" t="s">
        <v>8</v>
      </c>
      <c r="C99" s="545">
        <v>2</v>
      </c>
      <c r="D99" s="308">
        <f>SUM(C99:C103)</f>
        <v>9</v>
      </c>
      <c r="E99" s="108" t="s">
        <v>573</v>
      </c>
    </row>
    <row r="100" spans="1:5" x14ac:dyDescent="0.35">
      <c r="A100" s="443"/>
      <c r="B100" s="3" t="s">
        <v>612</v>
      </c>
      <c r="C100" s="4">
        <v>4</v>
      </c>
      <c r="D100" s="308"/>
      <c r="E100" s="15" t="s">
        <v>703</v>
      </c>
    </row>
    <row r="101" spans="1:5" x14ac:dyDescent="0.35">
      <c r="A101" s="443"/>
      <c r="B101" s="3" t="s">
        <v>704</v>
      </c>
      <c r="C101" s="4">
        <v>1.5</v>
      </c>
      <c r="D101" s="308"/>
      <c r="E101" s="15" t="s">
        <v>705</v>
      </c>
    </row>
    <row r="102" spans="1:5" x14ac:dyDescent="0.35">
      <c r="A102" s="443"/>
      <c r="B102" s="3" t="s">
        <v>706</v>
      </c>
      <c r="C102" s="4">
        <v>1</v>
      </c>
      <c r="D102" s="308"/>
      <c r="E102" s="15" t="s">
        <v>707</v>
      </c>
    </row>
    <row r="103" spans="1:5" x14ac:dyDescent="0.35">
      <c r="A103" s="444"/>
      <c r="B103" s="3" t="s">
        <v>702</v>
      </c>
      <c r="C103" s="4">
        <v>0.5</v>
      </c>
      <c r="D103" s="308"/>
      <c r="E103" s="108" t="s">
        <v>655</v>
      </c>
    </row>
    <row r="105" spans="1:5" ht="29" x14ac:dyDescent="0.35">
      <c r="A105" s="435">
        <v>46226</v>
      </c>
      <c r="B105" s="93" t="s">
        <v>8</v>
      </c>
      <c r="C105" s="544">
        <v>2</v>
      </c>
      <c r="D105" s="315">
        <f>C105+C106+C107+C108</f>
        <v>10.5</v>
      </c>
      <c r="E105" s="108" t="s">
        <v>573</v>
      </c>
    </row>
    <row r="106" spans="1:5" ht="29" x14ac:dyDescent="0.35">
      <c r="A106" s="321"/>
      <c r="B106" s="42" t="s">
        <v>518</v>
      </c>
      <c r="C106" s="73">
        <v>4</v>
      </c>
      <c r="D106" s="315"/>
      <c r="E106" s="108" t="s">
        <v>1638</v>
      </c>
    </row>
    <row r="107" spans="1:5" x14ac:dyDescent="0.35">
      <c r="A107" s="321"/>
      <c r="B107" s="42" t="s">
        <v>156</v>
      </c>
      <c r="C107" s="73">
        <v>1.5</v>
      </c>
      <c r="D107" s="315"/>
      <c r="E107" s="108" t="s">
        <v>513</v>
      </c>
    </row>
    <row r="108" spans="1:5" x14ac:dyDescent="0.35">
      <c r="A108" s="321"/>
      <c r="B108" s="42" t="s">
        <v>1639</v>
      </c>
      <c r="C108" s="73">
        <v>3</v>
      </c>
      <c r="D108" s="315"/>
      <c r="E108" s="108" t="s">
        <v>1640</v>
      </c>
    </row>
    <row r="110" spans="1:5" x14ac:dyDescent="0.35">
      <c r="A110" s="445">
        <v>46227</v>
      </c>
      <c r="B110" s="446" t="s">
        <v>1641</v>
      </c>
      <c r="C110" s="446"/>
      <c r="D110" s="446"/>
      <c r="E110" s="446"/>
    </row>
    <row r="112" spans="1:5" ht="29" x14ac:dyDescent="0.35">
      <c r="A112" s="297">
        <v>46230</v>
      </c>
      <c r="B112" s="93" t="s">
        <v>8</v>
      </c>
      <c r="C112" s="544">
        <v>2</v>
      </c>
      <c r="D112" s="315">
        <f>SUM(C112:C115)</f>
        <v>11</v>
      </c>
      <c r="E112" s="108" t="s">
        <v>573</v>
      </c>
    </row>
    <row r="113" spans="1:5" ht="29" x14ac:dyDescent="0.35">
      <c r="A113" s="297"/>
      <c r="B113" s="42" t="s">
        <v>583</v>
      </c>
      <c r="C113" s="73">
        <v>3</v>
      </c>
      <c r="D113" s="315"/>
      <c r="E113" s="108" t="s">
        <v>584</v>
      </c>
    </row>
    <row r="114" spans="1:5" ht="29" x14ac:dyDescent="0.35">
      <c r="A114" s="297"/>
      <c r="B114" s="42" t="s">
        <v>603</v>
      </c>
      <c r="C114" s="73">
        <v>2</v>
      </c>
      <c r="D114" s="315"/>
      <c r="E114" s="108" t="s">
        <v>586</v>
      </c>
    </row>
    <row r="115" spans="1:5" ht="43.5" x14ac:dyDescent="0.35">
      <c r="A115" s="297"/>
      <c r="B115" s="42" t="s">
        <v>1642</v>
      </c>
      <c r="C115" s="73">
        <v>4</v>
      </c>
      <c r="D115" s="315"/>
      <c r="E115" s="108" t="s">
        <v>1643</v>
      </c>
    </row>
    <row r="117" spans="1:5" ht="29" x14ac:dyDescent="0.35">
      <c r="A117" s="297">
        <v>46231</v>
      </c>
      <c r="B117" s="93" t="s">
        <v>8</v>
      </c>
      <c r="C117" s="544">
        <v>2</v>
      </c>
      <c r="D117" s="315">
        <f>SUM(C117:C120)</f>
        <v>10.5</v>
      </c>
      <c r="E117" s="108" t="s">
        <v>573</v>
      </c>
    </row>
    <row r="118" spans="1:5" ht="29" x14ac:dyDescent="0.35">
      <c r="A118" s="297"/>
      <c r="B118" s="108" t="s">
        <v>1706</v>
      </c>
      <c r="C118" s="73">
        <v>1</v>
      </c>
      <c r="D118" s="315"/>
      <c r="E118" s="108" t="s">
        <v>1707</v>
      </c>
    </row>
    <row r="119" spans="1:5" x14ac:dyDescent="0.35">
      <c r="A119" s="297"/>
      <c r="B119" s="42" t="s">
        <v>1708</v>
      </c>
      <c r="C119" s="73">
        <v>7</v>
      </c>
      <c r="D119" s="315"/>
      <c r="E119" s="108" t="s">
        <v>1709</v>
      </c>
    </row>
    <row r="120" spans="1:5" x14ac:dyDescent="0.35">
      <c r="A120" s="297"/>
      <c r="B120" s="42" t="s">
        <v>1717</v>
      </c>
      <c r="C120" s="73">
        <v>0.5</v>
      </c>
      <c r="D120" s="315"/>
      <c r="E120" s="108"/>
    </row>
    <row r="122" spans="1:5" ht="29" x14ac:dyDescent="0.35">
      <c r="A122" s="297">
        <v>46232</v>
      </c>
      <c r="B122" s="93" t="s">
        <v>8</v>
      </c>
      <c r="C122" s="544">
        <v>2</v>
      </c>
      <c r="D122" s="315">
        <v>9.5</v>
      </c>
      <c r="E122" s="108" t="s">
        <v>573</v>
      </c>
    </row>
    <row r="123" spans="1:5" x14ac:dyDescent="0.35">
      <c r="A123" s="297"/>
      <c r="B123" s="42" t="s">
        <v>1708</v>
      </c>
      <c r="C123" s="73">
        <v>3</v>
      </c>
      <c r="D123" s="315"/>
      <c r="E123" s="108" t="s">
        <v>1766</v>
      </c>
    </row>
    <row r="124" spans="1:5" x14ac:dyDescent="0.35">
      <c r="A124" s="297"/>
      <c r="B124" s="42" t="s">
        <v>1767</v>
      </c>
      <c r="C124" s="73">
        <v>3</v>
      </c>
      <c r="D124" s="315"/>
      <c r="E124" s="108" t="s">
        <v>1768</v>
      </c>
    </row>
    <row r="125" spans="1:5" x14ac:dyDescent="0.35">
      <c r="A125" s="297"/>
      <c r="B125" s="42" t="s">
        <v>1771</v>
      </c>
      <c r="C125" s="73">
        <v>1</v>
      </c>
      <c r="D125" s="315"/>
      <c r="E125" s="108"/>
    </row>
    <row r="126" spans="1:5" x14ac:dyDescent="0.35">
      <c r="A126" s="297"/>
      <c r="B126" s="42" t="s">
        <v>1769</v>
      </c>
      <c r="C126" s="73">
        <v>0.5</v>
      </c>
      <c r="D126" s="315"/>
      <c r="E126" s="108" t="s">
        <v>1770</v>
      </c>
    </row>
    <row r="128" spans="1:5" x14ac:dyDescent="0.35">
      <c r="A128" s="297">
        <v>46233</v>
      </c>
      <c r="B128" s="42" t="s">
        <v>1776</v>
      </c>
      <c r="C128" s="544">
        <v>2</v>
      </c>
      <c r="D128" s="315">
        <f>SUM(C128:C135)</f>
        <v>10</v>
      </c>
      <c r="E128" s="441" t="s">
        <v>573</v>
      </c>
    </row>
    <row r="129" spans="1:5" x14ac:dyDescent="0.35">
      <c r="A129" s="297"/>
      <c r="B129" s="42" t="s">
        <v>1774</v>
      </c>
      <c r="C129" s="73">
        <v>0.5</v>
      </c>
      <c r="D129" s="315"/>
      <c r="E129" s="108" t="s">
        <v>1775</v>
      </c>
    </row>
    <row r="130" spans="1:5" x14ac:dyDescent="0.35">
      <c r="A130" s="297"/>
      <c r="B130" s="42" t="s">
        <v>1772</v>
      </c>
      <c r="C130" s="73">
        <v>0.5</v>
      </c>
      <c r="D130" s="315"/>
      <c r="E130" s="108" t="s">
        <v>1773</v>
      </c>
    </row>
    <row r="131" spans="1:5" ht="29" x14ac:dyDescent="0.35">
      <c r="A131" s="297"/>
      <c r="B131" s="42" t="s">
        <v>1708</v>
      </c>
      <c r="C131" s="73">
        <v>1</v>
      </c>
      <c r="D131" s="315"/>
      <c r="E131" s="108" t="s">
        <v>1781</v>
      </c>
    </row>
    <row r="132" spans="1:5" ht="29" x14ac:dyDescent="0.35">
      <c r="A132" s="297"/>
      <c r="B132" s="42" t="s">
        <v>583</v>
      </c>
      <c r="C132" s="73">
        <v>3</v>
      </c>
      <c r="D132" s="315"/>
      <c r="E132" s="108" t="s">
        <v>584</v>
      </c>
    </row>
    <row r="133" spans="1:5" ht="29" x14ac:dyDescent="0.35">
      <c r="A133" s="297"/>
      <c r="B133" s="42" t="s">
        <v>585</v>
      </c>
      <c r="C133" s="73">
        <v>2</v>
      </c>
      <c r="D133" s="315"/>
      <c r="E133" s="108" t="s">
        <v>586</v>
      </c>
    </row>
    <row r="134" spans="1:5" ht="29" x14ac:dyDescent="0.35">
      <c r="A134" s="297"/>
      <c r="B134" s="42" t="s">
        <v>1820</v>
      </c>
      <c r="C134" s="73">
        <v>0.5</v>
      </c>
      <c r="D134" s="315"/>
      <c r="E134" s="108" t="s">
        <v>1821</v>
      </c>
    </row>
    <row r="135" spans="1:5" ht="43.5" customHeight="1" x14ac:dyDescent="0.35">
      <c r="A135" s="297"/>
      <c r="B135" s="42" t="s">
        <v>1788</v>
      </c>
      <c r="C135" s="73">
        <v>0.5</v>
      </c>
      <c r="D135" s="315"/>
      <c r="E135" s="108" t="s">
        <v>1789</v>
      </c>
    </row>
    <row r="136" spans="1:5" ht="43.5" customHeight="1" x14ac:dyDescent="0.35">
      <c r="A136" s="468"/>
      <c r="B136" s="437"/>
      <c r="C136" s="460"/>
      <c r="D136" s="460"/>
      <c r="E136" s="459"/>
    </row>
    <row r="137" spans="1:5" x14ac:dyDescent="0.35">
      <c r="A137" s="297">
        <v>46234</v>
      </c>
      <c r="B137" s="42" t="s">
        <v>1776</v>
      </c>
      <c r="C137" s="544">
        <v>2</v>
      </c>
      <c r="D137" s="315">
        <f>SUM(C137:C141)</f>
        <v>9.5</v>
      </c>
      <c r="E137" s="42" t="s">
        <v>573</v>
      </c>
    </row>
    <row r="138" spans="1:5" x14ac:dyDescent="0.35">
      <c r="A138" s="297"/>
      <c r="B138" s="42" t="s">
        <v>1932</v>
      </c>
      <c r="C138" s="73">
        <v>0.5</v>
      </c>
      <c r="D138" s="315"/>
      <c r="E138" s="108" t="s">
        <v>1933</v>
      </c>
    </row>
    <row r="139" spans="1:5" x14ac:dyDescent="0.35">
      <c r="A139" s="297"/>
      <c r="B139" s="42" t="s">
        <v>1788</v>
      </c>
      <c r="C139" s="73">
        <v>2</v>
      </c>
      <c r="D139" s="315"/>
      <c r="E139" s="108" t="s">
        <v>1789</v>
      </c>
    </row>
    <row r="140" spans="1:5" x14ac:dyDescent="0.35">
      <c r="A140" s="297"/>
      <c r="B140" s="42" t="s">
        <v>1936</v>
      </c>
      <c r="C140" s="73">
        <v>2</v>
      </c>
      <c r="D140" s="315"/>
      <c r="E140" s="108"/>
    </row>
    <row r="141" spans="1:5" ht="29" x14ac:dyDescent="0.35">
      <c r="A141" s="297"/>
      <c r="B141" s="42" t="s">
        <v>1934</v>
      </c>
      <c r="C141" s="73">
        <v>3</v>
      </c>
      <c r="D141" s="315"/>
      <c r="E141" s="108" t="s">
        <v>1946</v>
      </c>
    </row>
    <row r="143" spans="1:5" x14ac:dyDescent="0.35">
      <c r="A143" s="297">
        <v>46237</v>
      </c>
      <c r="B143" s="42" t="s">
        <v>1776</v>
      </c>
      <c r="C143" s="544">
        <v>2</v>
      </c>
      <c r="D143" s="315">
        <f>SUM(C143:C146)</f>
        <v>9</v>
      </c>
      <c r="E143" s="42" t="s">
        <v>573</v>
      </c>
    </row>
    <row r="144" spans="1:5" x14ac:dyDescent="0.35">
      <c r="A144" s="315"/>
      <c r="B144" s="42" t="s">
        <v>1947</v>
      </c>
      <c r="C144" s="73">
        <v>3</v>
      </c>
      <c r="D144" s="315"/>
      <c r="E144" s="108" t="s">
        <v>1954</v>
      </c>
    </row>
    <row r="145" spans="1:5" ht="29" x14ac:dyDescent="0.35">
      <c r="A145" s="315"/>
      <c r="B145" s="108" t="s">
        <v>1948</v>
      </c>
      <c r="C145" s="73">
        <v>2</v>
      </c>
      <c r="D145" s="315"/>
      <c r="E145" s="108" t="s">
        <v>1951</v>
      </c>
    </row>
    <row r="146" spans="1:5" x14ac:dyDescent="0.35">
      <c r="A146" s="315"/>
      <c r="B146" s="42" t="s">
        <v>1950</v>
      </c>
      <c r="C146" s="73">
        <v>2</v>
      </c>
      <c r="D146" s="315"/>
      <c r="E146" s="108" t="s">
        <v>1949</v>
      </c>
    </row>
  </sheetData>
  <mergeCells count="48">
    <mergeCell ref="A143:A146"/>
    <mergeCell ref="D143:D146"/>
    <mergeCell ref="A122:A126"/>
    <mergeCell ref="D122:D126"/>
    <mergeCell ref="A128:A135"/>
    <mergeCell ref="D128:D135"/>
    <mergeCell ref="D137:D141"/>
    <mergeCell ref="A137:A141"/>
    <mergeCell ref="B110:E110"/>
    <mergeCell ref="D112:D115"/>
    <mergeCell ref="A112:A115"/>
    <mergeCell ref="D117:D120"/>
    <mergeCell ref="A117:A120"/>
    <mergeCell ref="D99:D103"/>
    <mergeCell ref="A99:A103"/>
    <mergeCell ref="A93:A97"/>
    <mergeCell ref="D105:D108"/>
    <mergeCell ref="A105:A108"/>
    <mergeCell ref="D88:D91"/>
    <mergeCell ref="A88:A91"/>
    <mergeCell ref="D93:D96"/>
    <mergeCell ref="D61:D65"/>
    <mergeCell ref="A61:A65"/>
    <mergeCell ref="D83:D86"/>
    <mergeCell ref="A83:A86"/>
    <mergeCell ref="D67:D71"/>
    <mergeCell ref="A67:A71"/>
    <mergeCell ref="D73:D75"/>
    <mergeCell ref="A73:A75"/>
    <mergeCell ref="D77:D81"/>
    <mergeCell ref="A77:A81"/>
    <mergeCell ref="D55:D59"/>
    <mergeCell ref="A55:A59"/>
    <mergeCell ref="A8:A12"/>
    <mergeCell ref="A43:A47"/>
    <mergeCell ref="D43:D47"/>
    <mergeCell ref="D49:D53"/>
    <mergeCell ref="A49:A53"/>
    <mergeCell ref="D36:D41"/>
    <mergeCell ref="A36:A41"/>
    <mergeCell ref="A26:A34"/>
    <mergeCell ref="A18:A24"/>
    <mergeCell ref="A14:A16"/>
    <mergeCell ref="D3:D5"/>
    <mergeCell ref="D8:D12"/>
    <mergeCell ref="D14:D16"/>
    <mergeCell ref="D18:D24"/>
    <mergeCell ref="D26:D3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DC5D3-0B40-43D3-937E-6448E90D7DE8}">
  <dimension ref="A1:E145"/>
  <sheetViews>
    <sheetView topLeftCell="A128" workbookViewId="0">
      <selection activeCell="D153" sqref="D153"/>
    </sheetView>
  </sheetViews>
  <sheetFormatPr defaultRowHeight="14.5" x14ac:dyDescent="0.35"/>
  <cols>
    <col min="1" max="1" width="11.54296875" customWidth="1"/>
    <col min="2" max="2" width="61.7265625" customWidth="1"/>
    <col min="3" max="3" width="11.81640625" style="27" customWidth="1"/>
    <col min="4" max="4" width="16.26953125" customWidth="1"/>
    <col min="5" max="5" width="55.81640625" customWidth="1"/>
  </cols>
  <sheetData>
    <row r="1" spans="1:5" ht="29" x14ac:dyDescent="0.35">
      <c r="A1" s="1" t="s">
        <v>0</v>
      </c>
      <c r="B1" s="1" t="s">
        <v>1</v>
      </c>
      <c r="C1" s="98" t="s">
        <v>2</v>
      </c>
      <c r="D1" s="2" t="s">
        <v>3</v>
      </c>
      <c r="E1" s="1" t="s">
        <v>4</v>
      </c>
    </row>
    <row r="2" spans="1:5" x14ac:dyDescent="0.35">
      <c r="A2" s="10" t="s">
        <v>5</v>
      </c>
      <c r="B2" s="10"/>
      <c r="C2" s="11"/>
      <c r="D2" s="11"/>
      <c r="E2" s="10"/>
    </row>
    <row r="3" spans="1:5" x14ac:dyDescent="0.35">
      <c r="A3" s="5">
        <v>46204</v>
      </c>
      <c r="B3" s="6" t="s">
        <v>6</v>
      </c>
      <c r="C3" s="7">
        <v>2</v>
      </c>
      <c r="D3" s="298">
        <v>9</v>
      </c>
      <c r="E3" s="6"/>
    </row>
    <row r="4" spans="1:5" x14ac:dyDescent="0.35">
      <c r="A4" s="5">
        <v>46204</v>
      </c>
      <c r="B4" s="6" t="s">
        <v>7</v>
      </c>
      <c r="C4" s="7">
        <v>6</v>
      </c>
      <c r="D4" s="299"/>
      <c r="E4" s="6"/>
    </row>
    <row r="5" spans="1:5" x14ac:dyDescent="0.35">
      <c r="A5" s="5">
        <v>46204</v>
      </c>
      <c r="B5" s="6" t="s">
        <v>8</v>
      </c>
      <c r="C5" s="7">
        <v>1</v>
      </c>
      <c r="D5" s="300"/>
      <c r="E5" s="6"/>
    </row>
    <row r="6" spans="1:5" x14ac:dyDescent="0.35">
      <c r="A6" s="12"/>
      <c r="B6" s="12"/>
      <c r="C6" s="13"/>
      <c r="D6" s="13"/>
      <c r="E6" s="12"/>
    </row>
    <row r="7" spans="1:5" x14ac:dyDescent="0.35">
      <c r="A7" s="9" t="s">
        <v>9</v>
      </c>
      <c r="B7" s="3"/>
      <c r="C7" s="4"/>
      <c r="D7" s="4"/>
      <c r="E7" s="3"/>
    </row>
    <row r="8" spans="1:5" x14ac:dyDescent="0.35">
      <c r="A8" s="5">
        <v>46204</v>
      </c>
      <c r="B8" s="33" t="s">
        <v>8</v>
      </c>
      <c r="C8" s="30">
        <v>1</v>
      </c>
      <c r="D8" s="301">
        <v>9</v>
      </c>
      <c r="E8" s="3" t="s">
        <v>1795</v>
      </c>
    </row>
    <row r="9" spans="1:5" x14ac:dyDescent="0.35">
      <c r="A9" s="5">
        <v>46204</v>
      </c>
      <c r="B9" s="32" t="s">
        <v>535</v>
      </c>
      <c r="C9" s="30">
        <v>2</v>
      </c>
      <c r="D9" s="302"/>
      <c r="E9" s="3" t="s">
        <v>615</v>
      </c>
    </row>
    <row r="10" spans="1:5" x14ac:dyDescent="0.35">
      <c r="A10" s="5">
        <v>46204</v>
      </c>
      <c r="B10" s="32" t="s">
        <v>616</v>
      </c>
      <c r="C10" s="30">
        <v>2</v>
      </c>
      <c r="D10" s="302"/>
      <c r="E10" s="45" t="s">
        <v>617</v>
      </c>
    </row>
    <row r="11" spans="1:5" x14ac:dyDescent="0.35">
      <c r="A11" s="5">
        <v>46204</v>
      </c>
      <c r="B11" s="33" t="s">
        <v>618</v>
      </c>
      <c r="C11" s="30">
        <v>2</v>
      </c>
      <c r="D11" s="302"/>
      <c r="E11" s="3" t="s">
        <v>619</v>
      </c>
    </row>
    <row r="12" spans="1:5" x14ac:dyDescent="0.35">
      <c r="A12" s="5">
        <v>46204</v>
      </c>
      <c r="B12" s="33" t="s">
        <v>620</v>
      </c>
      <c r="C12" s="30">
        <v>0.5</v>
      </c>
      <c r="D12" s="302"/>
      <c r="E12" s="3" t="s">
        <v>621</v>
      </c>
    </row>
    <row r="13" spans="1:5" x14ac:dyDescent="0.35">
      <c r="A13" s="5">
        <v>46204</v>
      </c>
      <c r="B13" s="3" t="s">
        <v>622</v>
      </c>
      <c r="C13" s="4">
        <v>0.5</v>
      </c>
      <c r="D13" s="302"/>
      <c r="E13" s="3" t="s">
        <v>623</v>
      </c>
    </row>
    <row r="14" spans="1:5" x14ac:dyDescent="0.35">
      <c r="A14" s="5">
        <v>46204</v>
      </c>
      <c r="B14" s="3" t="s">
        <v>624</v>
      </c>
      <c r="C14" s="4">
        <v>1</v>
      </c>
      <c r="D14" s="303"/>
      <c r="E14" s="3" t="s">
        <v>625</v>
      </c>
    </row>
    <row r="15" spans="1:5" x14ac:dyDescent="0.35">
      <c r="A15" s="3"/>
      <c r="B15" s="3"/>
      <c r="C15" s="4"/>
      <c r="D15" s="4"/>
      <c r="E15" s="3"/>
    </row>
    <row r="16" spans="1:5" x14ac:dyDescent="0.35">
      <c r="A16" s="5">
        <v>46205</v>
      </c>
      <c r="B16" s="33" t="s">
        <v>8</v>
      </c>
      <c r="C16" s="30">
        <v>1</v>
      </c>
      <c r="D16" s="301">
        <v>9</v>
      </c>
      <c r="E16" s="3" t="s">
        <v>1795</v>
      </c>
    </row>
    <row r="17" spans="1:5" x14ac:dyDescent="0.35">
      <c r="A17" s="5">
        <v>46205</v>
      </c>
      <c r="B17" s="3" t="s">
        <v>626</v>
      </c>
      <c r="C17" s="4">
        <v>7.5</v>
      </c>
      <c r="D17" s="302"/>
      <c r="E17" s="3" t="s">
        <v>627</v>
      </c>
    </row>
    <row r="18" spans="1:5" x14ac:dyDescent="0.35">
      <c r="A18" s="5">
        <v>46205</v>
      </c>
      <c r="B18" s="3" t="s">
        <v>628</v>
      </c>
      <c r="C18" s="4">
        <v>0.5</v>
      </c>
      <c r="D18" s="303"/>
      <c r="E18" s="3" t="s">
        <v>629</v>
      </c>
    </row>
    <row r="19" spans="1:5" x14ac:dyDescent="0.35">
      <c r="A19" s="3"/>
      <c r="B19" s="3"/>
      <c r="C19" s="4"/>
      <c r="D19" s="4"/>
      <c r="E19" s="3"/>
    </row>
    <row r="20" spans="1:5" x14ac:dyDescent="0.35">
      <c r="A20" s="5">
        <v>46206</v>
      </c>
      <c r="B20" s="33" t="s">
        <v>8</v>
      </c>
      <c r="C20" s="30">
        <v>1</v>
      </c>
      <c r="D20" s="301">
        <v>9</v>
      </c>
      <c r="E20" s="3" t="s">
        <v>1795</v>
      </c>
    </row>
    <row r="21" spans="1:5" x14ac:dyDescent="0.35">
      <c r="A21" s="5">
        <v>46206</v>
      </c>
      <c r="B21" s="3" t="s">
        <v>630</v>
      </c>
      <c r="C21" s="4">
        <v>2</v>
      </c>
      <c r="D21" s="302"/>
      <c r="E21" s="3" t="s">
        <v>631</v>
      </c>
    </row>
    <row r="22" spans="1:5" x14ac:dyDescent="0.35">
      <c r="A22" s="5">
        <v>46206</v>
      </c>
      <c r="B22" s="32" t="s">
        <v>632</v>
      </c>
      <c r="C22" s="4">
        <v>3</v>
      </c>
      <c r="D22" s="302"/>
      <c r="E22" s="3" t="s">
        <v>633</v>
      </c>
    </row>
    <row r="23" spans="1:5" x14ac:dyDescent="0.35">
      <c r="A23" s="5">
        <v>46206</v>
      </c>
      <c r="B23" s="3" t="s">
        <v>634</v>
      </c>
      <c r="C23" s="4">
        <v>3</v>
      </c>
      <c r="D23" s="303"/>
      <c r="E23" s="3" t="s">
        <v>635</v>
      </c>
    </row>
    <row r="25" spans="1:5" x14ac:dyDescent="0.35">
      <c r="A25" s="5">
        <v>46209</v>
      </c>
      <c r="B25" s="42" t="s">
        <v>636</v>
      </c>
      <c r="C25" s="4">
        <v>0</v>
      </c>
      <c r="D25" s="4">
        <v>0</v>
      </c>
      <c r="E25" s="3"/>
    </row>
    <row r="27" spans="1:5" x14ac:dyDescent="0.35">
      <c r="A27" s="5">
        <v>46210</v>
      </c>
      <c r="B27" s="158" t="s">
        <v>8</v>
      </c>
      <c r="C27" s="4">
        <v>1</v>
      </c>
      <c r="D27" s="308">
        <v>8.5</v>
      </c>
      <c r="E27" s="3" t="s">
        <v>1795</v>
      </c>
    </row>
    <row r="28" spans="1:5" x14ac:dyDescent="0.35">
      <c r="A28" s="5">
        <v>46210</v>
      </c>
      <c r="B28" s="3" t="s">
        <v>307</v>
      </c>
      <c r="C28" s="4">
        <v>5</v>
      </c>
      <c r="D28" s="308"/>
      <c r="E28" s="3" t="s">
        <v>637</v>
      </c>
    </row>
    <row r="29" spans="1:5" x14ac:dyDescent="0.35">
      <c r="A29" s="5">
        <v>46210</v>
      </c>
      <c r="B29" s="3" t="s">
        <v>638</v>
      </c>
      <c r="C29" s="4">
        <v>2</v>
      </c>
      <c r="D29" s="308"/>
      <c r="E29" s="3" t="s">
        <v>639</v>
      </c>
    </row>
    <row r="30" spans="1:5" ht="43.5" x14ac:dyDescent="0.35">
      <c r="A30" s="5">
        <v>46210</v>
      </c>
      <c r="B30" s="3" t="s">
        <v>640</v>
      </c>
      <c r="C30" s="4">
        <v>0.5</v>
      </c>
      <c r="D30" s="308"/>
      <c r="E30" s="15" t="s">
        <v>641</v>
      </c>
    </row>
    <row r="32" spans="1:5" x14ac:dyDescent="0.35">
      <c r="A32" s="5">
        <v>46211</v>
      </c>
      <c r="B32" s="158" t="s">
        <v>8</v>
      </c>
      <c r="C32" s="4">
        <v>1</v>
      </c>
      <c r="D32" s="399">
        <v>9</v>
      </c>
      <c r="E32" s="3" t="s">
        <v>1795</v>
      </c>
    </row>
    <row r="33" spans="1:5" x14ac:dyDescent="0.35">
      <c r="A33" s="5">
        <v>46211</v>
      </c>
      <c r="B33" s="3" t="s">
        <v>642</v>
      </c>
      <c r="C33" s="4">
        <v>6</v>
      </c>
      <c r="D33" s="400"/>
      <c r="E33" s="3" t="s">
        <v>643</v>
      </c>
    </row>
    <row r="34" spans="1:5" x14ac:dyDescent="0.35">
      <c r="A34" s="5">
        <v>46211</v>
      </c>
      <c r="B34" s="3" t="s">
        <v>644</v>
      </c>
      <c r="C34" s="4">
        <v>1</v>
      </c>
      <c r="D34" s="400"/>
      <c r="E34" s="3" t="s">
        <v>645</v>
      </c>
    </row>
    <row r="35" spans="1:5" x14ac:dyDescent="0.35">
      <c r="A35" s="5">
        <v>46211</v>
      </c>
      <c r="B35" s="3" t="s">
        <v>634</v>
      </c>
      <c r="C35" s="4">
        <v>1</v>
      </c>
      <c r="D35" s="400"/>
      <c r="E35" s="3" t="s">
        <v>646</v>
      </c>
    </row>
    <row r="37" spans="1:5" x14ac:dyDescent="0.35">
      <c r="A37" s="5">
        <v>46212</v>
      </c>
      <c r="B37" s="158" t="s">
        <v>8</v>
      </c>
      <c r="C37" s="23">
        <v>1</v>
      </c>
      <c r="D37" s="301">
        <v>9</v>
      </c>
      <c r="E37" s="3" t="s">
        <v>1795</v>
      </c>
    </row>
    <row r="38" spans="1:5" x14ac:dyDescent="0.35">
      <c r="A38" s="5">
        <v>46212</v>
      </c>
      <c r="B38" s="158" t="s">
        <v>647</v>
      </c>
      <c r="C38" s="23">
        <v>0.5</v>
      </c>
      <c r="D38" s="302"/>
      <c r="E38" s="3" t="s">
        <v>648</v>
      </c>
    </row>
    <row r="39" spans="1:5" s="100" customFormat="1" ht="43.5" x14ac:dyDescent="0.35">
      <c r="A39" s="197">
        <v>46212</v>
      </c>
      <c r="B39" s="15" t="s">
        <v>649</v>
      </c>
      <c r="C39" s="199">
        <v>5.5</v>
      </c>
      <c r="D39" s="302"/>
      <c r="E39" s="15" t="s">
        <v>650</v>
      </c>
    </row>
    <row r="40" spans="1:5" x14ac:dyDescent="0.35">
      <c r="A40" s="5">
        <v>46212</v>
      </c>
      <c r="B40" s="3" t="s">
        <v>651</v>
      </c>
      <c r="C40" s="23">
        <v>0.5</v>
      </c>
      <c r="D40" s="302"/>
      <c r="E40" s="42"/>
    </row>
    <row r="41" spans="1:5" x14ac:dyDescent="0.35">
      <c r="A41" s="5">
        <v>46212</v>
      </c>
      <c r="B41" s="3" t="s">
        <v>652</v>
      </c>
      <c r="C41" s="23">
        <v>0.2</v>
      </c>
      <c r="D41" s="302"/>
      <c r="E41" s="48" t="s">
        <v>653</v>
      </c>
    </row>
    <row r="42" spans="1:5" x14ac:dyDescent="0.35">
      <c r="A42" s="5">
        <v>46212</v>
      </c>
      <c r="B42" s="3" t="s">
        <v>654</v>
      </c>
      <c r="C42" s="23">
        <v>1.3</v>
      </c>
      <c r="D42" s="303"/>
      <c r="E42" s="42" t="s">
        <v>655</v>
      </c>
    </row>
    <row r="44" spans="1:5" x14ac:dyDescent="0.35">
      <c r="A44" s="125">
        <v>46213</v>
      </c>
      <c r="B44" s="33" t="s">
        <v>8</v>
      </c>
      <c r="C44" s="4">
        <v>1</v>
      </c>
      <c r="D44" s="308">
        <v>9</v>
      </c>
      <c r="E44" s="3" t="s">
        <v>1795</v>
      </c>
    </row>
    <row r="45" spans="1:5" x14ac:dyDescent="0.35">
      <c r="A45" s="125">
        <v>46213</v>
      </c>
      <c r="B45" s="32" t="s">
        <v>656</v>
      </c>
      <c r="C45" s="4">
        <v>1</v>
      </c>
      <c r="D45" s="308"/>
      <c r="E45" s="3" t="s">
        <v>657</v>
      </c>
    </row>
    <row r="46" spans="1:5" x14ac:dyDescent="0.35">
      <c r="A46" s="125">
        <v>46213</v>
      </c>
      <c r="B46" s="33" t="s">
        <v>647</v>
      </c>
      <c r="C46" s="4">
        <v>2</v>
      </c>
      <c r="D46" s="308"/>
      <c r="E46" s="3" t="s">
        <v>658</v>
      </c>
    </row>
    <row r="47" spans="1:5" x14ac:dyDescent="0.35">
      <c r="A47" s="125">
        <v>46213</v>
      </c>
      <c r="B47" s="32" t="s">
        <v>659</v>
      </c>
      <c r="C47" s="4">
        <v>1</v>
      </c>
      <c r="D47" s="308"/>
      <c r="E47" s="3" t="s">
        <v>659</v>
      </c>
    </row>
    <row r="48" spans="1:5" x14ac:dyDescent="0.35">
      <c r="A48" s="125">
        <v>46213</v>
      </c>
      <c r="B48" s="33" t="s">
        <v>660</v>
      </c>
      <c r="C48" s="4">
        <v>0.5</v>
      </c>
      <c r="D48" s="308"/>
      <c r="E48" s="3" t="s">
        <v>661</v>
      </c>
    </row>
    <row r="49" spans="1:5" x14ac:dyDescent="0.35">
      <c r="A49" s="125">
        <v>46213</v>
      </c>
      <c r="B49" s="32" t="s">
        <v>662</v>
      </c>
      <c r="C49" s="4">
        <v>2.5</v>
      </c>
      <c r="D49" s="308"/>
      <c r="E49" s="3" t="s">
        <v>663</v>
      </c>
    </row>
    <row r="50" spans="1:5" x14ac:dyDescent="0.35">
      <c r="A50" s="5">
        <v>46213</v>
      </c>
      <c r="B50" s="32" t="s">
        <v>654</v>
      </c>
      <c r="C50" s="4">
        <v>1</v>
      </c>
      <c r="D50" s="308"/>
      <c r="E50" s="42" t="s">
        <v>655</v>
      </c>
    </row>
    <row r="52" spans="1:5" x14ac:dyDescent="0.35">
      <c r="A52" s="125">
        <v>46216</v>
      </c>
      <c r="B52" s="158" t="s">
        <v>8</v>
      </c>
      <c r="C52" s="4">
        <v>1</v>
      </c>
      <c r="D52" s="396">
        <v>9</v>
      </c>
      <c r="E52" s="3" t="s">
        <v>1795</v>
      </c>
    </row>
    <row r="53" spans="1:5" x14ac:dyDescent="0.35">
      <c r="A53" s="125">
        <v>46216</v>
      </c>
      <c r="B53" s="158" t="s">
        <v>664</v>
      </c>
      <c r="C53" s="4">
        <v>1</v>
      </c>
      <c r="D53" s="397"/>
      <c r="E53" s="158" t="s">
        <v>664</v>
      </c>
    </row>
    <row r="54" spans="1:5" x14ac:dyDescent="0.35">
      <c r="A54" s="125">
        <v>46216</v>
      </c>
      <c r="B54" s="3" t="s">
        <v>665</v>
      </c>
      <c r="C54" s="4">
        <v>3</v>
      </c>
      <c r="D54" s="397"/>
      <c r="E54" s="3" t="s">
        <v>666</v>
      </c>
    </row>
    <row r="55" spans="1:5" x14ac:dyDescent="0.35">
      <c r="A55" s="125">
        <v>46216</v>
      </c>
      <c r="B55" s="158" t="s">
        <v>667</v>
      </c>
      <c r="C55" s="4">
        <v>1</v>
      </c>
      <c r="D55" s="397"/>
      <c r="E55" s="158" t="s">
        <v>667</v>
      </c>
    </row>
    <row r="56" spans="1:5" x14ac:dyDescent="0.35">
      <c r="A56" s="125">
        <v>46216</v>
      </c>
      <c r="B56" s="32" t="s">
        <v>668</v>
      </c>
      <c r="C56" s="4">
        <v>3</v>
      </c>
      <c r="D56" s="398"/>
      <c r="E56" s="3" t="s">
        <v>669</v>
      </c>
    </row>
    <row r="58" spans="1:5" x14ac:dyDescent="0.35">
      <c r="A58" s="5">
        <v>46217</v>
      </c>
      <c r="B58" s="158" t="s">
        <v>8</v>
      </c>
      <c r="C58" s="4">
        <v>1</v>
      </c>
      <c r="D58" s="308">
        <v>9</v>
      </c>
      <c r="E58" s="3" t="s">
        <v>1795</v>
      </c>
    </row>
    <row r="59" spans="1:5" x14ac:dyDescent="0.35">
      <c r="A59" s="5">
        <v>46217</v>
      </c>
      <c r="B59" s="3" t="s">
        <v>668</v>
      </c>
      <c r="C59" s="4">
        <v>4</v>
      </c>
      <c r="D59" s="308"/>
      <c r="E59" s="3" t="s">
        <v>663</v>
      </c>
    </row>
    <row r="60" spans="1:5" x14ac:dyDescent="0.35">
      <c r="A60" s="5">
        <v>46217</v>
      </c>
      <c r="B60" s="3" t="s">
        <v>670</v>
      </c>
      <c r="C60" s="4">
        <v>2</v>
      </c>
      <c r="D60" s="308"/>
      <c r="E60" s="3" t="s">
        <v>671</v>
      </c>
    </row>
    <row r="61" spans="1:5" x14ac:dyDescent="0.35">
      <c r="A61" s="5">
        <v>46217</v>
      </c>
      <c r="B61" s="3" t="s">
        <v>672</v>
      </c>
      <c r="C61" s="4">
        <v>0.5</v>
      </c>
      <c r="D61" s="308"/>
      <c r="E61" s="3" t="s">
        <v>672</v>
      </c>
    </row>
    <row r="62" spans="1:5" x14ac:dyDescent="0.35">
      <c r="A62" s="5">
        <v>46217</v>
      </c>
      <c r="B62" s="3" t="s">
        <v>673</v>
      </c>
      <c r="C62" s="4">
        <v>1.5</v>
      </c>
      <c r="D62" s="308"/>
      <c r="E62" s="3" t="s">
        <v>673</v>
      </c>
    </row>
    <row r="64" spans="1:5" x14ac:dyDescent="0.35">
      <c r="A64" s="125">
        <v>46218</v>
      </c>
      <c r="B64" s="158" t="s">
        <v>8</v>
      </c>
      <c r="C64" s="4">
        <v>1</v>
      </c>
      <c r="D64" s="308">
        <v>9</v>
      </c>
      <c r="E64" s="3" t="s">
        <v>1795</v>
      </c>
    </row>
    <row r="65" spans="1:5" x14ac:dyDescent="0.35">
      <c r="A65" s="125">
        <v>46218</v>
      </c>
      <c r="B65" s="158" t="s">
        <v>674</v>
      </c>
      <c r="C65" s="4">
        <v>2</v>
      </c>
      <c r="D65" s="308"/>
      <c r="E65" s="158" t="s">
        <v>674</v>
      </c>
    </row>
    <row r="66" spans="1:5" x14ac:dyDescent="0.35">
      <c r="A66" s="125">
        <v>46218</v>
      </c>
      <c r="B66" s="3" t="s">
        <v>675</v>
      </c>
      <c r="C66" s="4">
        <v>3</v>
      </c>
      <c r="D66" s="308"/>
      <c r="E66" s="3" t="s">
        <v>676</v>
      </c>
    </row>
    <row r="67" spans="1:5" x14ac:dyDescent="0.35">
      <c r="A67" s="125">
        <v>46218</v>
      </c>
      <c r="B67" s="3" t="s">
        <v>677</v>
      </c>
      <c r="C67" s="4">
        <v>3</v>
      </c>
      <c r="D67" s="308"/>
      <c r="E67" s="3" t="s">
        <v>677</v>
      </c>
    </row>
    <row r="69" spans="1:5" x14ac:dyDescent="0.35">
      <c r="A69" s="125">
        <v>46219</v>
      </c>
      <c r="B69" s="158" t="s">
        <v>8</v>
      </c>
      <c r="C69" s="4">
        <v>1</v>
      </c>
      <c r="D69" s="308">
        <v>9</v>
      </c>
      <c r="E69" s="3" t="s">
        <v>1795</v>
      </c>
    </row>
    <row r="70" spans="1:5" x14ac:dyDescent="0.35">
      <c r="A70" s="125">
        <v>46219</v>
      </c>
      <c r="B70" s="158" t="s">
        <v>678</v>
      </c>
      <c r="C70" s="4">
        <v>1</v>
      </c>
      <c r="D70" s="308"/>
      <c r="E70" s="3" t="s">
        <v>679</v>
      </c>
    </row>
    <row r="71" spans="1:5" x14ac:dyDescent="0.35">
      <c r="A71" s="125">
        <v>46219</v>
      </c>
      <c r="B71" s="3" t="s">
        <v>680</v>
      </c>
      <c r="C71" s="4">
        <v>2</v>
      </c>
      <c r="D71" s="308"/>
      <c r="E71" s="3" t="s">
        <v>680</v>
      </c>
    </row>
    <row r="72" spans="1:5" x14ac:dyDescent="0.35">
      <c r="A72" s="125">
        <v>46219</v>
      </c>
      <c r="B72" s="3" t="s">
        <v>681</v>
      </c>
      <c r="C72" s="4">
        <v>4</v>
      </c>
      <c r="D72" s="308"/>
      <c r="E72" s="3" t="s">
        <v>681</v>
      </c>
    </row>
    <row r="73" spans="1:5" x14ac:dyDescent="0.35">
      <c r="A73" s="125">
        <v>46219</v>
      </c>
      <c r="B73" s="3" t="s">
        <v>682</v>
      </c>
      <c r="C73" s="4">
        <v>1</v>
      </c>
      <c r="D73" s="308"/>
      <c r="E73" s="3" t="s">
        <v>682</v>
      </c>
    </row>
    <row r="76" spans="1:5" x14ac:dyDescent="0.35">
      <c r="A76" s="5">
        <v>46220</v>
      </c>
      <c r="B76" s="158" t="s">
        <v>8</v>
      </c>
      <c r="C76" s="4">
        <v>1</v>
      </c>
      <c r="D76" s="308">
        <v>9</v>
      </c>
      <c r="E76" s="3" t="s">
        <v>1795</v>
      </c>
    </row>
    <row r="77" spans="1:5" x14ac:dyDescent="0.35">
      <c r="A77" s="5">
        <v>46220</v>
      </c>
      <c r="B77" s="3" t="s">
        <v>683</v>
      </c>
      <c r="C77" s="4">
        <v>0.5</v>
      </c>
      <c r="D77" s="308"/>
      <c r="E77" s="3" t="s">
        <v>483</v>
      </c>
    </row>
    <row r="78" spans="1:5" x14ac:dyDescent="0.35">
      <c r="A78" s="5">
        <v>46220</v>
      </c>
      <c r="B78" s="3" t="s">
        <v>684</v>
      </c>
      <c r="C78" s="4">
        <v>2</v>
      </c>
      <c r="D78" s="308"/>
      <c r="E78" s="3" t="s">
        <v>483</v>
      </c>
    </row>
    <row r="79" spans="1:5" x14ac:dyDescent="0.35">
      <c r="A79" s="5">
        <v>46220</v>
      </c>
      <c r="B79" s="3" t="s">
        <v>685</v>
      </c>
      <c r="C79" s="4">
        <v>1</v>
      </c>
      <c r="D79" s="308"/>
      <c r="E79" s="3" t="s">
        <v>483</v>
      </c>
    </row>
    <row r="80" spans="1:5" x14ac:dyDescent="0.35">
      <c r="A80" s="5">
        <v>46220</v>
      </c>
      <c r="B80" s="3" t="s">
        <v>686</v>
      </c>
      <c r="C80" s="4">
        <v>1</v>
      </c>
      <c r="D80" s="308"/>
      <c r="E80" s="3" t="s">
        <v>483</v>
      </c>
    </row>
    <row r="81" spans="1:5" x14ac:dyDescent="0.35">
      <c r="A81" s="5">
        <v>46220</v>
      </c>
      <c r="B81" s="3" t="s">
        <v>687</v>
      </c>
      <c r="C81" s="4">
        <v>1</v>
      </c>
      <c r="D81" s="308"/>
      <c r="E81" s="3" t="s">
        <v>483</v>
      </c>
    </row>
    <row r="82" spans="1:5" x14ac:dyDescent="0.35">
      <c r="A82" s="5">
        <v>46220</v>
      </c>
      <c r="B82" s="3" t="s">
        <v>688</v>
      </c>
      <c r="C82" s="4">
        <v>0.5</v>
      </c>
      <c r="D82" s="308"/>
      <c r="E82" s="3" t="s">
        <v>688</v>
      </c>
    </row>
    <row r="83" spans="1:5" x14ac:dyDescent="0.35">
      <c r="A83" s="5">
        <v>46220</v>
      </c>
      <c r="B83" s="3" t="s">
        <v>689</v>
      </c>
      <c r="C83" s="4">
        <v>1</v>
      </c>
      <c r="D83" s="308"/>
      <c r="E83" s="3" t="s">
        <v>689</v>
      </c>
    </row>
    <row r="84" spans="1:5" x14ac:dyDescent="0.35">
      <c r="A84" s="5">
        <v>46220</v>
      </c>
      <c r="B84" s="3" t="s">
        <v>690</v>
      </c>
      <c r="C84" s="4">
        <v>1</v>
      </c>
      <c r="D84" s="308"/>
      <c r="E84" s="3" t="s">
        <v>691</v>
      </c>
    </row>
    <row r="86" spans="1:5" x14ac:dyDescent="0.35">
      <c r="A86" s="125">
        <v>46223</v>
      </c>
      <c r="B86" s="158" t="s">
        <v>8</v>
      </c>
      <c r="C86" s="4">
        <v>1</v>
      </c>
      <c r="D86" s="308">
        <v>10</v>
      </c>
      <c r="E86" s="3" t="s">
        <v>1795</v>
      </c>
    </row>
    <row r="87" spans="1:5" x14ac:dyDescent="0.35">
      <c r="A87" s="125">
        <v>46223</v>
      </c>
      <c r="B87" s="3" t="s">
        <v>692</v>
      </c>
      <c r="C87" s="4">
        <v>2</v>
      </c>
      <c r="D87" s="308"/>
      <c r="E87" s="3" t="s">
        <v>692</v>
      </c>
    </row>
    <row r="88" spans="1:5" x14ac:dyDescent="0.35">
      <c r="A88" s="125">
        <v>46223</v>
      </c>
      <c r="B88" s="3" t="s">
        <v>693</v>
      </c>
      <c r="C88" s="4">
        <v>1</v>
      </c>
      <c r="D88" s="308"/>
      <c r="E88" s="3" t="s">
        <v>694</v>
      </c>
    </row>
    <row r="89" spans="1:5" x14ac:dyDescent="0.35">
      <c r="A89" s="125">
        <v>46223</v>
      </c>
      <c r="B89" s="3" t="s">
        <v>695</v>
      </c>
      <c r="C89" s="4">
        <v>4</v>
      </c>
      <c r="D89" s="308"/>
      <c r="E89" s="3" t="s">
        <v>695</v>
      </c>
    </row>
    <row r="90" spans="1:5" x14ac:dyDescent="0.35">
      <c r="A90" s="125">
        <v>46223</v>
      </c>
      <c r="B90" s="3" t="s">
        <v>497</v>
      </c>
      <c r="C90" s="4">
        <v>2</v>
      </c>
      <c r="D90" s="308"/>
      <c r="E90" s="3" t="s">
        <v>497</v>
      </c>
    </row>
    <row r="92" spans="1:5" x14ac:dyDescent="0.35">
      <c r="A92" s="125">
        <v>46224</v>
      </c>
      <c r="B92" s="158" t="s">
        <v>8</v>
      </c>
      <c r="C92" s="4">
        <v>1</v>
      </c>
      <c r="D92" s="308">
        <v>9</v>
      </c>
      <c r="E92" s="3" t="s">
        <v>1795</v>
      </c>
    </row>
    <row r="93" spans="1:5" x14ac:dyDescent="0.35">
      <c r="A93" s="125">
        <v>46224</v>
      </c>
      <c r="B93" s="3" t="s">
        <v>696</v>
      </c>
      <c r="C93" s="4">
        <v>1</v>
      </c>
      <c r="D93" s="308"/>
      <c r="E93" s="3" t="s">
        <v>697</v>
      </c>
    </row>
    <row r="94" spans="1:5" x14ac:dyDescent="0.35">
      <c r="A94" s="125">
        <v>46224</v>
      </c>
      <c r="B94" s="15" t="s">
        <v>698</v>
      </c>
      <c r="C94" s="4">
        <v>2</v>
      </c>
      <c r="D94" s="308"/>
      <c r="E94" s="3" t="s">
        <v>699</v>
      </c>
    </row>
    <row r="95" spans="1:5" x14ac:dyDescent="0.35">
      <c r="A95" s="125">
        <v>46224</v>
      </c>
      <c r="B95" s="3" t="s">
        <v>700</v>
      </c>
      <c r="C95" s="4">
        <v>4</v>
      </c>
      <c r="D95" s="308"/>
      <c r="E95" s="3" t="s">
        <v>701</v>
      </c>
    </row>
    <row r="96" spans="1:5" x14ac:dyDescent="0.35">
      <c r="A96" s="125">
        <v>46224</v>
      </c>
      <c r="B96" s="3" t="s">
        <v>702</v>
      </c>
      <c r="C96" s="4">
        <v>1</v>
      </c>
      <c r="D96" s="308"/>
      <c r="E96" s="42" t="s">
        <v>655</v>
      </c>
    </row>
    <row r="98" spans="1:5" x14ac:dyDescent="0.35">
      <c r="A98" s="125">
        <v>46225</v>
      </c>
      <c r="B98" s="158" t="s">
        <v>8</v>
      </c>
      <c r="C98" s="4">
        <v>1</v>
      </c>
      <c r="D98" s="308">
        <v>9</v>
      </c>
      <c r="E98" s="3" t="s">
        <v>1795</v>
      </c>
    </row>
    <row r="99" spans="1:5" x14ac:dyDescent="0.35">
      <c r="A99" s="125">
        <v>46225</v>
      </c>
      <c r="B99" s="3" t="s">
        <v>612</v>
      </c>
      <c r="C99" s="4">
        <v>4</v>
      </c>
      <c r="D99" s="308"/>
      <c r="E99" s="3" t="s">
        <v>703</v>
      </c>
    </row>
    <row r="100" spans="1:5" x14ac:dyDescent="0.35">
      <c r="A100" s="125">
        <v>46225</v>
      </c>
      <c r="B100" s="3" t="s">
        <v>704</v>
      </c>
      <c r="C100" s="4">
        <v>1.5</v>
      </c>
      <c r="D100" s="308"/>
      <c r="E100" s="3" t="s">
        <v>705</v>
      </c>
    </row>
    <row r="101" spans="1:5" x14ac:dyDescent="0.35">
      <c r="A101" s="125">
        <v>46225</v>
      </c>
      <c r="B101" s="3" t="s">
        <v>706</v>
      </c>
      <c r="C101" s="4">
        <v>1</v>
      </c>
      <c r="D101" s="308"/>
      <c r="E101" s="3" t="s">
        <v>707</v>
      </c>
    </row>
    <row r="102" spans="1:5" x14ac:dyDescent="0.35">
      <c r="A102" s="125">
        <v>46225</v>
      </c>
      <c r="B102" s="3" t="s">
        <v>708</v>
      </c>
      <c r="C102" s="4">
        <v>1</v>
      </c>
      <c r="D102" s="308"/>
      <c r="E102" s="3" t="s">
        <v>709</v>
      </c>
    </row>
    <row r="103" spans="1:5" x14ac:dyDescent="0.35">
      <c r="A103" s="125">
        <v>46225</v>
      </c>
      <c r="B103" s="3" t="s">
        <v>702</v>
      </c>
      <c r="C103" s="4">
        <v>0.5</v>
      </c>
      <c r="D103" s="308"/>
      <c r="E103" s="42" t="s">
        <v>655</v>
      </c>
    </row>
    <row r="105" spans="1:5" x14ac:dyDescent="0.35">
      <c r="A105" s="125">
        <v>46226</v>
      </c>
      <c r="B105" s="158" t="s">
        <v>8</v>
      </c>
      <c r="C105" s="4">
        <v>1</v>
      </c>
      <c r="D105" s="396">
        <v>9</v>
      </c>
      <c r="E105" s="3" t="s">
        <v>1795</v>
      </c>
    </row>
    <row r="106" spans="1:5" x14ac:dyDescent="0.35">
      <c r="A106" s="125">
        <v>46226</v>
      </c>
      <c r="B106" s="158" t="s">
        <v>1568</v>
      </c>
      <c r="C106" s="4">
        <v>1.5</v>
      </c>
      <c r="D106" s="397"/>
      <c r="E106" s="158" t="s">
        <v>1568</v>
      </c>
    </row>
    <row r="107" spans="1:5" x14ac:dyDescent="0.35">
      <c r="A107" s="125">
        <v>46226</v>
      </c>
      <c r="B107" s="3" t="s">
        <v>1572</v>
      </c>
      <c r="C107" s="4">
        <v>4</v>
      </c>
      <c r="D107" s="397"/>
      <c r="E107" s="3" t="s">
        <v>1573</v>
      </c>
    </row>
    <row r="108" spans="1:5" x14ac:dyDescent="0.35">
      <c r="A108" s="125">
        <v>46226</v>
      </c>
      <c r="B108" s="3" t="s">
        <v>1569</v>
      </c>
      <c r="C108" s="4">
        <v>1.5</v>
      </c>
      <c r="D108" s="397"/>
      <c r="E108" s="3" t="s">
        <v>1569</v>
      </c>
    </row>
    <row r="109" spans="1:5" x14ac:dyDescent="0.35">
      <c r="A109" s="125">
        <v>46226</v>
      </c>
      <c r="B109" s="3" t="s">
        <v>702</v>
      </c>
      <c r="C109" s="4">
        <v>1</v>
      </c>
      <c r="D109" s="398"/>
      <c r="E109" s="42" t="s">
        <v>655</v>
      </c>
    </row>
    <row r="110" spans="1:5" x14ac:dyDescent="0.35">
      <c r="A110" s="438"/>
    </row>
    <row r="111" spans="1:5" x14ac:dyDescent="0.35">
      <c r="A111" s="5">
        <v>46227</v>
      </c>
      <c r="B111" s="158" t="s">
        <v>8</v>
      </c>
      <c r="C111" s="4">
        <v>1</v>
      </c>
      <c r="D111" s="396">
        <v>9.5</v>
      </c>
      <c r="E111" s="3" t="s">
        <v>1795</v>
      </c>
    </row>
    <row r="112" spans="1:5" x14ac:dyDescent="0.35">
      <c r="A112" s="5">
        <v>46227</v>
      </c>
      <c r="B112" s="158" t="s">
        <v>1575</v>
      </c>
      <c r="C112" s="4">
        <v>0.5</v>
      </c>
      <c r="D112" s="397"/>
      <c r="E112" s="158" t="s">
        <v>1575</v>
      </c>
    </row>
    <row r="113" spans="1:5" x14ac:dyDescent="0.35">
      <c r="A113" s="5">
        <v>46227</v>
      </c>
      <c r="B113" s="3" t="s">
        <v>1782</v>
      </c>
      <c r="C113" s="4">
        <v>8</v>
      </c>
      <c r="D113" s="398"/>
      <c r="E113" s="3" t="s">
        <v>1779</v>
      </c>
    </row>
    <row r="114" spans="1:5" x14ac:dyDescent="0.35">
      <c r="A114" s="448"/>
    </row>
    <row r="115" spans="1:5" x14ac:dyDescent="0.35">
      <c r="A115" s="125">
        <v>46230</v>
      </c>
      <c r="B115" s="158" t="s">
        <v>8</v>
      </c>
      <c r="C115" s="4">
        <v>1</v>
      </c>
      <c r="D115" s="308">
        <v>10</v>
      </c>
      <c r="E115" s="3" t="s">
        <v>1795</v>
      </c>
    </row>
    <row r="116" spans="1:5" x14ac:dyDescent="0.35">
      <c r="A116" s="473">
        <v>46230</v>
      </c>
      <c r="B116" s="158" t="s">
        <v>1780</v>
      </c>
      <c r="C116" s="4">
        <v>3</v>
      </c>
      <c r="D116" s="308"/>
      <c r="E116" s="3" t="s">
        <v>1780</v>
      </c>
    </row>
    <row r="117" spans="1:5" ht="29" x14ac:dyDescent="0.35">
      <c r="A117" s="125">
        <v>46230</v>
      </c>
      <c r="B117" s="3" t="s">
        <v>1642</v>
      </c>
      <c r="C117" s="40">
        <v>5</v>
      </c>
      <c r="D117" s="308"/>
      <c r="E117" s="15" t="s">
        <v>1786</v>
      </c>
    </row>
    <row r="118" spans="1:5" x14ac:dyDescent="0.35">
      <c r="A118" s="125">
        <v>46230</v>
      </c>
      <c r="B118" s="3" t="s">
        <v>1791</v>
      </c>
      <c r="C118" s="4">
        <v>1</v>
      </c>
      <c r="D118" s="308"/>
      <c r="E118" s="3" t="s">
        <v>1791</v>
      </c>
    </row>
    <row r="120" spans="1:5" x14ac:dyDescent="0.35">
      <c r="A120" s="5">
        <v>46231</v>
      </c>
      <c r="B120" s="158" t="s">
        <v>8</v>
      </c>
      <c r="C120" s="4">
        <v>1</v>
      </c>
      <c r="D120" s="308">
        <v>10.5</v>
      </c>
      <c r="E120" s="3" t="s">
        <v>1795</v>
      </c>
    </row>
    <row r="121" spans="1:5" x14ac:dyDescent="0.35">
      <c r="A121" s="5">
        <v>46231</v>
      </c>
      <c r="B121" s="3" t="s">
        <v>1782</v>
      </c>
      <c r="C121" s="4">
        <v>8</v>
      </c>
      <c r="D121" s="308"/>
      <c r="E121" s="3" t="s">
        <v>1802</v>
      </c>
    </row>
    <row r="122" spans="1:5" x14ac:dyDescent="0.35">
      <c r="A122" s="5">
        <v>46231</v>
      </c>
      <c r="B122" s="3" t="s">
        <v>1799</v>
      </c>
      <c r="C122" s="4">
        <v>1</v>
      </c>
      <c r="D122" s="308"/>
      <c r="E122" s="3" t="s">
        <v>1799</v>
      </c>
    </row>
    <row r="123" spans="1:5" x14ac:dyDescent="0.35">
      <c r="A123" s="5">
        <v>46231</v>
      </c>
      <c r="B123" s="3" t="s">
        <v>1800</v>
      </c>
      <c r="C123" s="4">
        <v>0.5</v>
      </c>
      <c r="D123" s="308"/>
      <c r="E123" s="3" t="s">
        <v>1800</v>
      </c>
    </row>
    <row r="125" spans="1:5" x14ac:dyDescent="0.35">
      <c r="A125" s="125">
        <v>46232</v>
      </c>
      <c r="B125" s="158" t="s">
        <v>8</v>
      </c>
      <c r="C125" s="4">
        <v>1</v>
      </c>
      <c r="D125" s="404">
        <v>9</v>
      </c>
      <c r="E125" s="3" t="s">
        <v>1795</v>
      </c>
    </row>
    <row r="126" spans="1:5" x14ac:dyDescent="0.35">
      <c r="A126" s="125">
        <v>46232</v>
      </c>
      <c r="B126" s="3" t="s">
        <v>1782</v>
      </c>
      <c r="C126" s="4">
        <v>2.5</v>
      </c>
      <c r="D126" s="457"/>
      <c r="E126" s="3" t="s">
        <v>1804</v>
      </c>
    </row>
    <row r="127" spans="1:5" x14ac:dyDescent="0.35">
      <c r="A127" s="125">
        <v>46232</v>
      </c>
      <c r="B127" s="3" t="s">
        <v>1801</v>
      </c>
      <c r="C127" s="4">
        <v>3</v>
      </c>
      <c r="D127" s="457"/>
      <c r="E127" s="3" t="s">
        <v>1803</v>
      </c>
    </row>
    <row r="128" spans="1:5" x14ac:dyDescent="0.35">
      <c r="A128" s="125">
        <v>46232</v>
      </c>
      <c r="B128" s="3" t="s">
        <v>1805</v>
      </c>
      <c r="C128" s="4">
        <v>0.5</v>
      </c>
      <c r="D128" s="457"/>
      <c r="E128" s="3" t="s">
        <v>1805</v>
      </c>
    </row>
    <row r="129" spans="1:5" x14ac:dyDescent="0.35">
      <c r="A129" s="5">
        <v>46232</v>
      </c>
      <c r="B129" s="3" t="s">
        <v>1791</v>
      </c>
      <c r="C129" s="4">
        <v>2</v>
      </c>
      <c r="D129" s="457"/>
      <c r="E129" s="3" t="s">
        <v>1791</v>
      </c>
    </row>
    <row r="131" spans="1:5" x14ac:dyDescent="0.35">
      <c r="A131" s="125">
        <v>46233</v>
      </c>
      <c r="B131" s="158" t="s">
        <v>8</v>
      </c>
      <c r="C131" s="4">
        <v>1</v>
      </c>
      <c r="D131" s="308">
        <v>10</v>
      </c>
      <c r="E131" s="3" t="s">
        <v>1795</v>
      </c>
    </row>
    <row r="132" spans="1:5" x14ac:dyDescent="0.35">
      <c r="A132" s="125">
        <v>46233</v>
      </c>
      <c r="B132" s="3" t="s">
        <v>1806</v>
      </c>
      <c r="C132" s="4">
        <v>1</v>
      </c>
      <c r="D132" s="308"/>
      <c r="E132" s="3" t="s">
        <v>1806</v>
      </c>
    </row>
    <row r="133" spans="1:5" x14ac:dyDescent="0.35">
      <c r="A133" s="125">
        <v>46233</v>
      </c>
      <c r="B133" s="3" t="s">
        <v>1807</v>
      </c>
      <c r="C133" s="4">
        <v>7</v>
      </c>
      <c r="D133" s="308"/>
      <c r="E133" s="3" t="s">
        <v>1812</v>
      </c>
    </row>
    <row r="134" spans="1:5" x14ac:dyDescent="0.35">
      <c r="A134" s="125">
        <v>46233</v>
      </c>
      <c r="B134" s="3" t="s">
        <v>1791</v>
      </c>
      <c r="C134" s="4">
        <v>1</v>
      </c>
      <c r="D134" s="308"/>
      <c r="E134" s="3" t="s">
        <v>1791</v>
      </c>
    </row>
    <row r="136" spans="1:5" x14ac:dyDescent="0.35">
      <c r="A136" s="125">
        <v>46234</v>
      </c>
      <c r="B136" s="158" t="s">
        <v>8</v>
      </c>
      <c r="C136" s="4">
        <v>1</v>
      </c>
      <c r="D136" s="399">
        <v>9</v>
      </c>
      <c r="E136" s="3" t="s">
        <v>1795</v>
      </c>
    </row>
    <row r="137" spans="1:5" x14ac:dyDescent="0.35">
      <c r="A137" s="125">
        <v>46234</v>
      </c>
      <c r="B137" s="3" t="s">
        <v>1807</v>
      </c>
      <c r="C137" s="4">
        <v>4.5</v>
      </c>
      <c r="D137" s="400"/>
      <c r="E137" s="3" t="s">
        <v>1955</v>
      </c>
    </row>
    <row r="138" spans="1:5" x14ac:dyDescent="0.35">
      <c r="A138" s="125">
        <v>46234</v>
      </c>
      <c r="B138" s="3" t="s">
        <v>1957</v>
      </c>
      <c r="C138" s="4">
        <v>1.5</v>
      </c>
      <c r="D138" s="400"/>
      <c r="E138" s="3" t="s">
        <v>1956</v>
      </c>
    </row>
    <row r="139" spans="1:5" x14ac:dyDescent="0.35">
      <c r="A139" s="125">
        <v>46234</v>
      </c>
      <c r="B139" s="3" t="s">
        <v>1958</v>
      </c>
      <c r="C139" s="4">
        <v>1</v>
      </c>
      <c r="D139" s="400"/>
      <c r="E139" s="3" t="s">
        <v>1958</v>
      </c>
    </row>
    <row r="140" spans="1:5" x14ac:dyDescent="0.35">
      <c r="A140" s="125">
        <v>46234</v>
      </c>
      <c r="B140" s="3" t="s">
        <v>1791</v>
      </c>
      <c r="C140" s="4">
        <v>1</v>
      </c>
      <c r="D140" s="400"/>
      <c r="E140" s="3" t="s">
        <v>1791</v>
      </c>
    </row>
    <row r="142" spans="1:5" x14ac:dyDescent="0.35">
      <c r="A142" s="125">
        <v>46237</v>
      </c>
      <c r="B142" s="158" t="s">
        <v>8</v>
      </c>
      <c r="C142" s="4">
        <v>1</v>
      </c>
      <c r="D142" s="364">
        <v>9</v>
      </c>
      <c r="E142" s="3" t="s">
        <v>1795</v>
      </c>
    </row>
    <row r="143" spans="1:5" x14ac:dyDescent="0.35">
      <c r="A143" s="125">
        <v>46237</v>
      </c>
      <c r="B143" t="s">
        <v>1960</v>
      </c>
      <c r="C143" s="27">
        <v>3.5</v>
      </c>
      <c r="D143" s="364"/>
      <c r="E143" s="108" t="s">
        <v>1954</v>
      </c>
    </row>
    <row r="144" spans="1:5" x14ac:dyDescent="0.35">
      <c r="A144" s="125">
        <v>46237</v>
      </c>
      <c r="B144" t="s">
        <v>1959</v>
      </c>
      <c r="C144" s="27">
        <v>3.5</v>
      </c>
      <c r="D144" s="364"/>
      <c r="E144" s="108" t="s">
        <v>1951</v>
      </c>
    </row>
    <row r="145" spans="1:4" x14ac:dyDescent="0.35">
      <c r="A145" s="125">
        <v>46237</v>
      </c>
      <c r="C145" s="27">
        <v>1</v>
      </c>
      <c r="D145" s="364"/>
    </row>
  </sheetData>
  <mergeCells count="24">
    <mergeCell ref="D142:D145"/>
    <mergeCell ref="D120:D123"/>
    <mergeCell ref="D125:D129"/>
    <mergeCell ref="D131:D134"/>
    <mergeCell ref="D136:D140"/>
    <mergeCell ref="D111:D113"/>
    <mergeCell ref="D105:D109"/>
    <mergeCell ref="D115:D118"/>
    <mergeCell ref="D98:D103"/>
    <mergeCell ref="D52:D56"/>
    <mergeCell ref="D58:D62"/>
    <mergeCell ref="D32:D35"/>
    <mergeCell ref="D37:D42"/>
    <mergeCell ref="D44:D50"/>
    <mergeCell ref="D92:D96"/>
    <mergeCell ref="D64:D67"/>
    <mergeCell ref="D69:D73"/>
    <mergeCell ref="D76:D84"/>
    <mergeCell ref="D86:D90"/>
    <mergeCell ref="D3:D5"/>
    <mergeCell ref="D8:D14"/>
    <mergeCell ref="D16:D18"/>
    <mergeCell ref="D20:D23"/>
    <mergeCell ref="D27:D30"/>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672C0-68D5-45DE-AA1E-20E731006B52}">
  <dimension ref="A1:E330"/>
  <sheetViews>
    <sheetView topLeftCell="A206" zoomScale="103" workbookViewId="0">
      <selection activeCell="B239" sqref="B239"/>
    </sheetView>
  </sheetViews>
  <sheetFormatPr defaultRowHeight="14.5" x14ac:dyDescent="0.35"/>
  <cols>
    <col min="1" max="1" width="11.54296875" style="156" customWidth="1"/>
    <col min="2" max="2" width="83.26953125" style="436" customWidth="1"/>
    <col min="3" max="3" width="11.81640625" style="436" customWidth="1"/>
    <col min="4" max="4" width="16.26953125" style="533" customWidth="1"/>
    <col min="5" max="5" width="97.26953125" style="436" bestFit="1" customWidth="1"/>
    <col min="6" max="16384" width="8.7265625" style="436"/>
  </cols>
  <sheetData>
    <row r="1" spans="1:5" ht="29" x14ac:dyDescent="0.35">
      <c r="A1" s="156" t="s">
        <v>0</v>
      </c>
      <c r="B1" s="504" t="s">
        <v>1</v>
      </c>
      <c r="C1" s="505" t="s">
        <v>2</v>
      </c>
      <c r="D1" s="506" t="s">
        <v>3</v>
      </c>
      <c r="E1" s="504" t="s">
        <v>4</v>
      </c>
    </row>
    <row r="2" spans="1:5" x14ac:dyDescent="0.35">
      <c r="A2" s="156" t="s">
        <v>5</v>
      </c>
      <c r="B2" s="507"/>
      <c r="C2" s="11"/>
      <c r="D2" s="168"/>
      <c r="E2" s="507"/>
    </row>
    <row r="3" spans="1:5" x14ac:dyDescent="0.35">
      <c r="A3" s="156">
        <v>46204</v>
      </c>
      <c r="B3" s="508" t="s">
        <v>6</v>
      </c>
      <c r="C3" s="7">
        <v>2</v>
      </c>
      <c r="D3" s="496">
        <f>SUM(C3:C5)/24</f>
        <v>0.375</v>
      </c>
      <c r="E3" s="508"/>
    </row>
    <row r="4" spans="1:5" x14ac:dyDescent="0.35">
      <c r="A4" s="156">
        <v>46204</v>
      </c>
      <c r="B4" s="508" t="s">
        <v>7</v>
      </c>
      <c r="C4" s="7">
        <v>6</v>
      </c>
      <c r="D4" s="536"/>
      <c r="E4" s="508"/>
    </row>
    <row r="5" spans="1:5" x14ac:dyDescent="0.35">
      <c r="A5" s="156">
        <v>46204</v>
      </c>
      <c r="B5" s="508" t="s">
        <v>8</v>
      </c>
      <c r="C5" s="7">
        <v>1</v>
      </c>
      <c r="D5" s="535"/>
      <c r="E5" s="508"/>
    </row>
    <row r="6" spans="1:5" x14ac:dyDescent="0.35">
      <c r="B6" s="509"/>
      <c r="C6" s="13"/>
      <c r="D6" s="169"/>
      <c r="E6" s="509"/>
    </row>
    <row r="7" spans="1:5" x14ac:dyDescent="0.35">
      <c r="A7" s="285" t="s">
        <v>9</v>
      </c>
      <c r="B7" s="474"/>
      <c r="C7" s="4"/>
      <c r="D7" s="170"/>
      <c r="E7" s="474"/>
    </row>
    <row r="8" spans="1:5" x14ac:dyDescent="0.35">
      <c r="A8" s="281">
        <v>46204</v>
      </c>
      <c r="B8" s="510" t="s">
        <v>81</v>
      </c>
      <c r="C8" s="4">
        <v>0.5</v>
      </c>
      <c r="D8" s="288">
        <f>SUM(C8:C18)/24</f>
        <v>0.44791666666666669</v>
      </c>
      <c r="E8" s="511" t="s">
        <v>71</v>
      </c>
    </row>
    <row r="9" spans="1:5" x14ac:dyDescent="0.35">
      <c r="A9" s="281">
        <v>46204</v>
      </c>
      <c r="B9" s="510" t="s">
        <v>82</v>
      </c>
      <c r="C9" s="4">
        <v>0.5</v>
      </c>
      <c r="D9" s="289"/>
      <c r="E9" s="512" t="s">
        <v>71</v>
      </c>
    </row>
    <row r="10" spans="1:5" x14ac:dyDescent="0.35">
      <c r="A10" s="281">
        <v>46204</v>
      </c>
      <c r="B10" s="510" t="s">
        <v>710</v>
      </c>
      <c r="C10" s="4">
        <v>0.5</v>
      </c>
      <c r="D10" s="289"/>
      <c r="E10" s="511" t="s">
        <v>71</v>
      </c>
    </row>
    <row r="11" spans="1:5" x14ac:dyDescent="0.35">
      <c r="A11" s="281">
        <v>46204</v>
      </c>
      <c r="B11" s="510" t="s">
        <v>711</v>
      </c>
      <c r="C11" s="4">
        <v>0.5</v>
      </c>
      <c r="D11" s="289"/>
      <c r="E11" s="474" t="s">
        <v>71</v>
      </c>
    </row>
    <row r="12" spans="1:5" x14ac:dyDescent="0.35">
      <c r="A12" s="281">
        <v>46204</v>
      </c>
      <c r="B12" s="510" t="s">
        <v>712</v>
      </c>
      <c r="C12" s="4">
        <v>1.25</v>
      </c>
      <c r="D12" s="289"/>
      <c r="E12" s="474" t="s">
        <v>713</v>
      </c>
    </row>
    <row r="13" spans="1:5" x14ac:dyDescent="0.35">
      <c r="A13" s="281">
        <v>46204</v>
      </c>
      <c r="B13" s="510" t="s">
        <v>714</v>
      </c>
      <c r="C13" s="4">
        <v>0.5</v>
      </c>
      <c r="D13" s="289"/>
      <c r="E13" s="474" t="s">
        <v>71</v>
      </c>
    </row>
    <row r="14" spans="1:5" x14ac:dyDescent="0.35">
      <c r="A14" s="281">
        <v>46204</v>
      </c>
      <c r="B14" s="510" t="s">
        <v>715</v>
      </c>
      <c r="C14" s="4">
        <v>1.5</v>
      </c>
      <c r="D14" s="289"/>
      <c r="E14" s="474" t="s">
        <v>716</v>
      </c>
    </row>
    <row r="15" spans="1:5" x14ac:dyDescent="0.35">
      <c r="A15" s="281">
        <v>46204</v>
      </c>
      <c r="B15" s="510" t="s">
        <v>717</v>
      </c>
      <c r="C15" s="4">
        <v>0.75</v>
      </c>
      <c r="D15" s="289"/>
      <c r="E15" s="474" t="s">
        <v>718</v>
      </c>
    </row>
    <row r="16" spans="1:5" x14ac:dyDescent="0.35">
      <c r="A16" s="281">
        <v>46204</v>
      </c>
      <c r="B16" s="510" t="s">
        <v>719</v>
      </c>
      <c r="C16" s="4">
        <v>2.5</v>
      </c>
      <c r="D16" s="289"/>
      <c r="E16" s="474" t="s">
        <v>716</v>
      </c>
    </row>
    <row r="17" spans="1:5" x14ac:dyDescent="0.35">
      <c r="A17" s="281">
        <v>46204</v>
      </c>
      <c r="B17" s="510" t="s">
        <v>720</v>
      </c>
      <c r="C17" s="4">
        <v>1.5</v>
      </c>
      <c r="D17" s="289"/>
      <c r="E17" s="474" t="s">
        <v>721</v>
      </c>
    </row>
    <row r="18" spans="1:5" x14ac:dyDescent="0.35">
      <c r="A18" s="281">
        <v>46204</v>
      </c>
      <c r="B18" s="436" t="s">
        <v>722</v>
      </c>
      <c r="C18" s="25">
        <v>0.75</v>
      </c>
      <c r="D18" s="290"/>
      <c r="E18" s="483" t="s">
        <v>723</v>
      </c>
    </row>
    <row r="19" spans="1:5" x14ac:dyDescent="0.35">
      <c r="A19" s="500"/>
      <c r="B19" s="497"/>
      <c r="C19" s="497"/>
      <c r="D19" s="497"/>
      <c r="E19" s="497"/>
    </row>
    <row r="20" spans="1:5" x14ac:dyDescent="0.35">
      <c r="A20" s="282">
        <v>46205</v>
      </c>
      <c r="B20" s="485" t="s">
        <v>81</v>
      </c>
      <c r="C20" s="26">
        <v>0.5</v>
      </c>
      <c r="D20" s="288">
        <f>SUM(C20:C28)/24</f>
        <v>0.41666666666666669</v>
      </c>
      <c r="E20" s="511" t="s">
        <v>71</v>
      </c>
    </row>
    <row r="21" spans="1:5" x14ac:dyDescent="0.35">
      <c r="A21" s="282">
        <v>46205</v>
      </c>
      <c r="B21" s="474" t="s">
        <v>82</v>
      </c>
      <c r="C21" s="4">
        <v>0.5</v>
      </c>
      <c r="D21" s="289"/>
      <c r="E21" s="512" t="s">
        <v>71</v>
      </c>
    </row>
    <row r="22" spans="1:5" x14ac:dyDescent="0.35">
      <c r="A22" s="282">
        <v>46205</v>
      </c>
      <c r="B22" s="474" t="s">
        <v>710</v>
      </c>
      <c r="C22" s="4">
        <v>0.5</v>
      </c>
      <c r="D22" s="289"/>
      <c r="E22" s="511" t="s">
        <v>71</v>
      </c>
    </row>
    <row r="23" spans="1:5" x14ac:dyDescent="0.35">
      <c r="A23" s="282">
        <v>46205</v>
      </c>
      <c r="B23" s="474" t="s">
        <v>724</v>
      </c>
      <c r="C23" s="4">
        <v>0.5</v>
      </c>
      <c r="D23" s="289"/>
      <c r="E23" s="474" t="s">
        <v>71</v>
      </c>
    </row>
    <row r="24" spans="1:5" x14ac:dyDescent="0.35">
      <c r="A24" s="282">
        <v>46205</v>
      </c>
      <c r="B24" s="474" t="s">
        <v>725</v>
      </c>
      <c r="C24" s="4">
        <v>1</v>
      </c>
      <c r="D24" s="289"/>
      <c r="E24" s="474" t="s">
        <v>71</v>
      </c>
    </row>
    <row r="25" spans="1:5" x14ac:dyDescent="0.35">
      <c r="A25" s="282">
        <v>46205</v>
      </c>
      <c r="B25" s="474" t="s">
        <v>726</v>
      </c>
      <c r="C25" s="4">
        <v>0.75</v>
      </c>
      <c r="D25" s="289"/>
      <c r="E25" s="474" t="s">
        <v>727</v>
      </c>
    </row>
    <row r="26" spans="1:5" x14ac:dyDescent="0.35">
      <c r="A26" s="282">
        <v>46205</v>
      </c>
      <c r="B26" s="474" t="s">
        <v>728</v>
      </c>
      <c r="C26" s="4">
        <v>2.5</v>
      </c>
      <c r="D26" s="289"/>
      <c r="E26" s="474" t="s">
        <v>729</v>
      </c>
    </row>
    <row r="27" spans="1:5" x14ac:dyDescent="0.35">
      <c r="A27" s="282">
        <v>46205</v>
      </c>
      <c r="B27" s="474" t="s">
        <v>730</v>
      </c>
      <c r="C27" s="4">
        <v>2.75</v>
      </c>
      <c r="D27" s="289"/>
      <c r="E27" s="474" t="s">
        <v>729</v>
      </c>
    </row>
    <row r="28" spans="1:5" x14ac:dyDescent="0.35">
      <c r="A28" s="282">
        <v>46205</v>
      </c>
      <c r="B28" s="483" t="s">
        <v>731</v>
      </c>
      <c r="C28" s="25">
        <v>1</v>
      </c>
      <c r="D28" s="290"/>
      <c r="E28" s="483" t="s">
        <v>713</v>
      </c>
    </row>
    <row r="29" spans="1:5" x14ac:dyDescent="0.35">
      <c r="A29" s="501"/>
      <c r="B29" s="497"/>
      <c r="C29" s="497"/>
      <c r="D29" s="497"/>
      <c r="E29" s="497"/>
    </row>
    <row r="30" spans="1:5" x14ac:dyDescent="0.35">
      <c r="A30" s="156">
        <v>46206</v>
      </c>
      <c r="B30" s="513" t="s">
        <v>81</v>
      </c>
      <c r="C30" s="26">
        <v>0.5</v>
      </c>
      <c r="D30" s="288">
        <f>SUM(C30:C37)/24</f>
        <v>0.39583333333333331</v>
      </c>
      <c r="E30" s="514" t="s">
        <v>71</v>
      </c>
    </row>
    <row r="31" spans="1:5" x14ac:dyDescent="0.35">
      <c r="A31" s="156">
        <v>46206</v>
      </c>
      <c r="B31" s="515" t="s">
        <v>82</v>
      </c>
      <c r="C31" s="4">
        <v>0.5</v>
      </c>
      <c r="D31" s="289"/>
      <c r="E31" s="516" t="s">
        <v>71</v>
      </c>
    </row>
    <row r="32" spans="1:5" x14ac:dyDescent="0.35">
      <c r="A32" s="156">
        <v>46206</v>
      </c>
      <c r="B32" s="517" t="s">
        <v>732</v>
      </c>
      <c r="C32" s="4">
        <v>1</v>
      </c>
      <c r="D32" s="289"/>
      <c r="E32" s="517" t="s">
        <v>733</v>
      </c>
    </row>
    <row r="33" spans="1:5" x14ac:dyDescent="0.35">
      <c r="A33" s="156">
        <v>46206</v>
      </c>
      <c r="B33" s="517" t="s">
        <v>734</v>
      </c>
      <c r="C33" s="4">
        <v>2.25</v>
      </c>
      <c r="D33" s="289"/>
      <c r="E33" s="517" t="s">
        <v>735</v>
      </c>
    </row>
    <row r="34" spans="1:5" x14ac:dyDescent="0.35">
      <c r="A34" s="156">
        <v>46206</v>
      </c>
      <c r="B34" s="510" t="s">
        <v>710</v>
      </c>
      <c r="C34" s="4">
        <v>0.5</v>
      </c>
      <c r="D34" s="289"/>
      <c r="E34" s="518" t="s">
        <v>71</v>
      </c>
    </row>
    <row r="35" spans="1:5" x14ac:dyDescent="0.35">
      <c r="A35" s="156">
        <v>46206</v>
      </c>
      <c r="B35" s="510" t="s">
        <v>736</v>
      </c>
      <c r="C35" s="4">
        <v>1</v>
      </c>
      <c r="D35" s="289"/>
      <c r="E35" s="518" t="s">
        <v>71</v>
      </c>
    </row>
    <row r="36" spans="1:5" x14ac:dyDescent="0.35">
      <c r="A36" s="156">
        <v>46206</v>
      </c>
      <c r="B36" s="510" t="s">
        <v>737</v>
      </c>
      <c r="C36" s="4">
        <v>2.75</v>
      </c>
      <c r="D36" s="289"/>
      <c r="E36" s="510" t="s">
        <v>738</v>
      </c>
    </row>
    <row r="37" spans="1:5" x14ac:dyDescent="0.35">
      <c r="A37" s="156">
        <v>46206</v>
      </c>
      <c r="B37" s="515" t="s">
        <v>552</v>
      </c>
      <c r="C37" s="25">
        <v>1</v>
      </c>
      <c r="D37" s="290"/>
      <c r="E37" s="516" t="s">
        <v>71</v>
      </c>
    </row>
    <row r="38" spans="1:5" ht="4" customHeight="1" x14ac:dyDescent="0.35">
      <c r="A38" s="502"/>
      <c r="B38" s="497"/>
      <c r="C38" s="497"/>
      <c r="D38" s="497"/>
      <c r="E38" s="497"/>
    </row>
    <row r="39" spans="1:5" x14ac:dyDescent="0.35">
      <c r="A39" s="218">
        <v>46207</v>
      </c>
      <c r="B39" s="519" t="s">
        <v>739</v>
      </c>
      <c r="C39" s="519"/>
      <c r="D39" s="519"/>
      <c r="E39" s="519"/>
    </row>
    <row r="40" spans="1:5" ht="4" customHeight="1" x14ac:dyDescent="0.35">
      <c r="A40" s="500"/>
      <c r="B40" s="497"/>
      <c r="C40" s="497"/>
      <c r="D40" s="497"/>
      <c r="E40" s="497"/>
    </row>
    <row r="41" spans="1:5" x14ac:dyDescent="0.35">
      <c r="A41" s="218">
        <v>46208</v>
      </c>
      <c r="B41" s="519" t="s">
        <v>740</v>
      </c>
      <c r="C41" s="519"/>
      <c r="D41" s="519"/>
      <c r="E41" s="519"/>
    </row>
    <row r="42" spans="1:5" ht="3.65" customHeight="1" x14ac:dyDescent="0.35">
      <c r="A42" s="500"/>
      <c r="B42" s="497"/>
      <c r="C42" s="497"/>
      <c r="D42" s="497"/>
      <c r="E42" s="497"/>
    </row>
    <row r="43" spans="1:5" x14ac:dyDescent="0.35">
      <c r="A43" s="280">
        <v>46209</v>
      </c>
      <c r="B43" s="485" t="s">
        <v>81</v>
      </c>
      <c r="C43" s="26">
        <v>0.5</v>
      </c>
      <c r="D43" s="288">
        <f>SUM(C43:C49)/24</f>
        <v>0.38541666666666669</v>
      </c>
      <c r="E43" s="520" t="s">
        <v>71</v>
      </c>
    </row>
    <row r="44" spans="1:5" x14ac:dyDescent="0.35">
      <c r="A44" s="280">
        <v>46209</v>
      </c>
      <c r="B44" s="483" t="s">
        <v>82</v>
      </c>
      <c r="C44" s="4">
        <v>0.5</v>
      </c>
      <c r="D44" s="289"/>
      <c r="E44" s="512" t="s">
        <v>71</v>
      </c>
    </row>
    <row r="45" spans="1:5" x14ac:dyDescent="0.35">
      <c r="A45" s="280">
        <v>46209</v>
      </c>
      <c r="B45" s="474" t="s">
        <v>741</v>
      </c>
      <c r="C45" s="4">
        <v>3.5</v>
      </c>
      <c r="D45" s="289"/>
      <c r="E45" s="474" t="s">
        <v>742</v>
      </c>
    </row>
    <row r="46" spans="1:5" x14ac:dyDescent="0.35">
      <c r="A46" s="280">
        <v>46209</v>
      </c>
      <c r="B46" s="474" t="s">
        <v>710</v>
      </c>
      <c r="C46" s="4">
        <v>0.5</v>
      </c>
      <c r="D46" s="289"/>
      <c r="E46" s="511" t="s">
        <v>71</v>
      </c>
    </row>
    <row r="47" spans="1:5" x14ac:dyDescent="0.35">
      <c r="A47" s="280">
        <v>46209</v>
      </c>
      <c r="B47" s="474" t="s">
        <v>743</v>
      </c>
      <c r="C47" s="4">
        <v>2</v>
      </c>
      <c r="D47" s="289"/>
      <c r="E47" s="474" t="s">
        <v>744</v>
      </c>
    </row>
    <row r="48" spans="1:5" x14ac:dyDescent="0.35">
      <c r="A48" s="280">
        <v>46209</v>
      </c>
      <c r="B48" s="474" t="s">
        <v>305</v>
      </c>
      <c r="C48" s="4">
        <v>1.75</v>
      </c>
      <c r="D48" s="289"/>
      <c r="E48" s="474" t="s">
        <v>745</v>
      </c>
    </row>
    <row r="49" spans="1:5" x14ac:dyDescent="0.35">
      <c r="A49" s="280">
        <v>46209</v>
      </c>
      <c r="B49" s="483" t="s">
        <v>746</v>
      </c>
      <c r="C49" s="25">
        <v>0.5</v>
      </c>
      <c r="D49" s="290"/>
      <c r="E49" s="483" t="s">
        <v>747</v>
      </c>
    </row>
    <row r="50" spans="1:5" x14ac:dyDescent="0.35">
      <c r="A50" s="500"/>
      <c r="B50" s="497"/>
      <c r="C50" s="497"/>
      <c r="D50" s="497"/>
      <c r="E50" s="497"/>
    </row>
    <row r="51" spans="1:5" x14ac:dyDescent="0.35">
      <c r="A51" s="282">
        <v>46210</v>
      </c>
      <c r="B51" s="485" t="s">
        <v>81</v>
      </c>
      <c r="C51" s="26">
        <v>0.5</v>
      </c>
      <c r="D51" s="288">
        <f>SUM(C51:C59)/24</f>
        <v>0.41666666666666669</v>
      </c>
      <c r="E51" s="520" t="s">
        <v>71</v>
      </c>
    </row>
    <row r="52" spans="1:5" x14ac:dyDescent="0.35">
      <c r="A52" s="282">
        <v>46210</v>
      </c>
      <c r="B52" s="483" t="s">
        <v>82</v>
      </c>
      <c r="C52" s="4">
        <v>0.5</v>
      </c>
      <c r="D52" s="289"/>
      <c r="E52" s="512" t="s">
        <v>71</v>
      </c>
    </row>
    <row r="53" spans="1:5" x14ac:dyDescent="0.35">
      <c r="A53" s="282">
        <v>46210</v>
      </c>
      <c r="B53" s="474" t="s">
        <v>748</v>
      </c>
      <c r="C53" s="4">
        <v>1</v>
      </c>
      <c r="D53" s="289"/>
      <c r="E53" s="474" t="s">
        <v>738</v>
      </c>
    </row>
    <row r="54" spans="1:5" x14ac:dyDescent="0.35">
      <c r="A54" s="282">
        <v>46210</v>
      </c>
      <c r="B54" s="474" t="s">
        <v>710</v>
      </c>
      <c r="C54" s="4">
        <v>0.5</v>
      </c>
      <c r="D54" s="289"/>
      <c r="E54" s="511" t="s">
        <v>71</v>
      </c>
    </row>
    <row r="55" spans="1:5" x14ac:dyDescent="0.35">
      <c r="A55" s="282">
        <v>46210</v>
      </c>
      <c r="B55" s="474" t="s">
        <v>749</v>
      </c>
      <c r="C55" s="4">
        <v>1</v>
      </c>
      <c r="D55" s="289"/>
      <c r="E55" s="511" t="s">
        <v>750</v>
      </c>
    </row>
    <row r="56" spans="1:5" x14ac:dyDescent="0.35">
      <c r="A56" s="282">
        <v>46210</v>
      </c>
      <c r="B56" s="474" t="s">
        <v>751</v>
      </c>
      <c r="C56" s="4">
        <v>2</v>
      </c>
      <c r="D56" s="289"/>
      <c r="E56" s="474" t="s">
        <v>752</v>
      </c>
    </row>
    <row r="57" spans="1:5" x14ac:dyDescent="0.35">
      <c r="A57" s="282">
        <v>46210</v>
      </c>
      <c r="B57" s="474" t="s">
        <v>753</v>
      </c>
      <c r="C57" s="4">
        <v>1</v>
      </c>
      <c r="D57" s="289"/>
      <c r="E57" s="511" t="s">
        <v>754</v>
      </c>
    </row>
    <row r="58" spans="1:5" x14ac:dyDescent="0.35">
      <c r="A58" s="282">
        <v>46210</v>
      </c>
      <c r="B58" s="474" t="s">
        <v>755</v>
      </c>
      <c r="C58" s="4">
        <v>2</v>
      </c>
      <c r="D58" s="289"/>
      <c r="E58" s="474" t="s">
        <v>756</v>
      </c>
    </row>
    <row r="59" spans="1:5" x14ac:dyDescent="0.35">
      <c r="A59" s="282">
        <v>46210</v>
      </c>
      <c r="B59" s="474" t="s">
        <v>757</v>
      </c>
      <c r="C59" s="4">
        <v>1.5</v>
      </c>
      <c r="D59" s="290"/>
      <c r="E59" s="474" t="s">
        <v>758</v>
      </c>
    </row>
    <row r="60" spans="1:5" x14ac:dyDescent="0.35">
      <c r="A60" s="503"/>
      <c r="B60" s="530"/>
      <c r="C60" s="530"/>
      <c r="D60" s="530"/>
      <c r="E60" s="531"/>
    </row>
    <row r="61" spans="1:5" x14ac:dyDescent="0.35">
      <c r="A61" s="279">
        <v>46211</v>
      </c>
      <c r="B61" s="474" t="s">
        <v>81</v>
      </c>
      <c r="C61" s="4">
        <v>0.5</v>
      </c>
      <c r="D61" s="288">
        <f>SUM(C61:C68)/24</f>
        <v>0.375</v>
      </c>
      <c r="E61" s="511" t="s">
        <v>71</v>
      </c>
    </row>
    <row r="62" spans="1:5" x14ac:dyDescent="0.35">
      <c r="A62" s="279">
        <v>46211</v>
      </c>
      <c r="B62" s="483" t="s">
        <v>82</v>
      </c>
      <c r="C62" s="4">
        <v>0.5</v>
      </c>
      <c r="D62" s="289"/>
      <c r="E62" s="512" t="s">
        <v>71</v>
      </c>
    </row>
    <row r="63" spans="1:5" x14ac:dyDescent="0.35">
      <c r="A63" s="279">
        <v>46211</v>
      </c>
      <c r="B63" s="474" t="s">
        <v>366</v>
      </c>
      <c r="C63" s="4">
        <v>1</v>
      </c>
      <c r="D63" s="289"/>
      <c r="E63" s="511" t="s">
        <v>71</v>
      </c>
    </row>
    <row r="64" spans="1:5" x14ac:dyDescent="0.35">
      <c r="A64" s="279">
        <v>46211</v>
      </c>
      <c r="B64" s="474" t="s">
        <v>710</v>
      </c>
      <c r="C64" s="4">
        <v>0.5</v>
      </c>
      <c r="D64" s="289"/>
      <c r="E64" s="511" t="s">
        <v>71</v>
      </c>
    </row>
    <row r="65" spans="1:5" x14ac:dyDescent="0.35">
      <c r="A65" s="279">
        <v>46211</v>
      </c>
      <c r="B65" s="474" t="s">
        <v>759</v>
      </c>
      <c r="C65" s="4">
        <v>2</v>
      </c>
      <c r="D65" s="289"/>
      <c r="E65" s="474" t="s">
        <v>760</v>
      </c>
    </row>
    <row r="66" spans="1:5" x14ac:dyDescent="0.35">
      <c r="A66" s="279">
        <v>46211</v>
      </c>
      <c r="B66" s="474" t="s">
        <v>761</v>
      </c>
      <c r="C66" s="4">
        <v>0.5</v>
      </c>
      <c r="D66" s="289"/>
      <c r="E66" s="511" t="s">
        <v>762</v>
      </c>
    </row>
    <row r="67" spans="1:5" x14ac:dyDescent="0.35">
      <c r="A67" s="279">
        <v>46211</v>
      </c>
      <c r="B67" s="474" t="s">
        <v>763</v>
      </c>
      <c r="C67" s="4">
        <v>3</v>
      </c>
      <c r="D67" s="289"/>
      <c r="E67" s="474" t="s">
        <v>764</v>
      </c>
    </row>
    <row r="68" spans="1:5" x14ac:dyDescent="0.35">
      <c r="A68" s="279">
        <v>46211</v>
      </c>
      <c r="B68" s="474" t="s">
        <v>765</v>
      </c>
      <c r="C68" s="4">
        <v>1</v>
      </c>
      <c r="D68" s="290"/>
      <c r="E68" s="474" t="s">
        <v>766</v>
      </c>
    </row>
    <row r="69" spans="1:5" x14ac:dyDescent="0.35">
      <c r="A69" s="503"/>
      <c r="B69" s="530"/>
      <c r="C69" s="530"/>
      <c r="D69" s="530"/>
      <c r="E69" s="531"/>
    </row>
    <row r="70" spans="1:5" x14ac:dyDescent="0.35">
      <c r="A70" s="279">
        <v>46212</v>
      </c>
      <c r="B70" s="474" t="s">
        <v>81</v>
      </c>
      <c r="C70" s="4">
        <v>0.5</v>
      </c>
      <c r="D70" s="288">
        <f>SUM(C70:C79)/24</f>
        <v>0.41666666666666669</v>
      </c>
      <c r="E70" s="511" t="s">
        <v>71</v>
      </c>
    </row>
    <row r="71" spans="1:5" x14ac:dyDescent="0.35">
      <c r="A71" s="279">
        <v>46212</v>
      </c>
      <c r="B71" s="483" t="s">
        <v>82</v>
      </c>
      <c r="C71" s="4">
        <v>0.5</v>
      </c>
      <c r="D71" s="289"/>
      <c r="E71" s="512" t="s">
        <v>71</v>
      </c>
    </row>
    <row r="72" spans="1:5" x14ac:dyDescent="0.35">
      <c r="A72" s="279">
        <v>46212</v>
      </c>
      <c r="B72" s="474" t="s">
        <v>767</v>
      </c>
      <c r="C72" s="4">
        <v>1.5</v>
      </c>
      <c r="D72" s="289"/>
      <c r="E72" s="474" t="s">
        <v>768</v>
      </c>
    </row>
    <row r="73" spans="1:5" x14ac:dyDescent="0.35">
      <c r="A73" s="279">
        <v>46212</v>
      </c>
      <c r="B73" s="474" t="s">
        <v>710</v>
      </c>
      <c r="C73" s="4">
        <v>0.5</v>
      </c>
      <c r="D73" s="289"/>
      <c r="E73" s="511" t="s">
        <v>71</v>
      </c>
    </row>
    <row r="74" spans="1:5" x14ac:dyDescent="0.35">
      <c r="A74" s="279">
        <v>46212</v>
      </c>
      <c r="B74" s="474" t="s">
        <v>769</v>
      </c>
      <c r="C74" s="4">
        <v>1.5</v>
      </c>
      <c r="D74" s="289"/>
      <c r="E74" s="511" t="s">
        <v>770</v>
      </c>
    </row>
    <row r="75" spans="1:5" x14ac:dyDescent="0.35">
      <c r="A75" s="279">
        <v>46212</v>
      </c>
      <c r="B75" s="474" t="s">
        <v>761</v>
      </c>
      <c r="C75" s="4">
        <v>0.5</v>
      </c>
      <c r="D75" s="289"/>
      <c r="E75" s="511" t="s">
        <v>762</v>
      </c>
    </row>
    <row r="76" spans="1:5" x14ac:dyDescent="0.35">
      <c r="A76" s="279">
        <v>46212</v>
      </c>
      <c r="B76" s="447" t="s">
        <v>771</v>
      </c>
      <c r="C76" s="4">
        <v>1</v>
      </c>
      <c r="D76" s="289"/>
      <c r="E76" s="196" t="s">
        <v>71</v>
      </c>
    </row>
    <row r="77" spans="1:5" x14ac:dyDescent="0.35">
      <c r="A77" s="279">
        <v>46212</v>
      </c>
      <c r="B77" s="447" t="s">
        <v>772</v>
      </c>
      <c r="C77" s="4">
        <v>0.5</v>
      </c>
      <c r="D77" s="289"/>
      <c r="E77" s="511" t="s">
        <v>71</v>
      </c>
    </row>
    <row r="78" spans="1:5" x14ac:dyDescent="0.35">
      <c r="A78" s="279">
        <v>46212</v>
      </c>
      <c r="B78" s="474" t="s">
        <v>773</v>
      </c>
      <c r="C78" s="4">
        <v>0.5</v>
      </c>
      <c r="D78" s="289"/>
      <c r="E78" s="511" t="s">
        <v>71</v>
      </c>
    </row>
    <row r="79" spans="1:5" x14ac:dyDescent="0.35">
      <c r="A79" s="279">
        <v>46212</v>
      </c>
      <c r="B79" s="474" t="s">
        <v>774</v>
      </c>
      <c r="C79" s="4">
        <v>3</v>
      </c>
      <c r="D79" s="290"/>
      <c r="E79" s="474" t="s">
        <v>775</v>
      </c>
    </row>
    <row r="80" spans="1:5" x14ac:dyDescent="0.35">
      <c r="A80" s="503"/>
      <c r="B80" s="530"/>
      <c r="C80" s="530"/>
      <c r="D80" s="530"/>
      <c r="E80" s="531"/>
    </row>
    <row r="81" spans="1:5" x14ac:dyDescent="0.35">
      <c r="A81" s="279">
        <v>46213</v>
      </c>
      <c r="B81" s="474" t="s">
        <v>81</v>
      </c>
      <c r="C81" s="4">
        <v>0.5</v>
      </c>
      <c r="D81" s="294">
        <f>SUM(C81:C86)/24</f>
        <v>0.375</v>
      </c>
      <c r="E81" s="511" t="s">
        <v>71</v>
      </c>
    </row>
    <row r="82" spans="1:5" x14ac:dyDescent="0.35">
      <c r="A82" s="279">
        <v>46213</v>
      </c>
      <c r="B82" s="483" t="s">
        <v>82</v>
      </c>
      <c r="C82" s="4">
        <v>0.5</v>
      </c>
      <c r="D82" s="295"/>
      <c r="E82" s="512" t="s">
        <v>71</v>
      </c>
    </row>
    <row r="83" spans="1:5" x14ac:dyDescent="0.35">
      <c r="A83" s="279">
        <v>46213</v>
      </c>
      <c r="B83" s="474" t="s">
        <v>710</v>
      </c>
      <c r="C83" s="4">
        <v>0.5</v>
      </c>
      <c r="D83" s="295"/>
      <c r="E83" s="511" t="s">
        <v>71</v>
      </c>
    </row>
    <row r="84" spans="1:5" x14ac:dyDescent="0.35">
      <c r="A84" s="279">
        <v>46213</v>
      </c>
      <c r="B84" s="474" t="s">
        <v>761</v>
      </c>
      <c r="C84" s="4">
        <v>0.5</v>
      </c>
      <c r="D84" s="295"/>
      <c r="E84" s="511" t="s">
        <v>762</v>
      </c>
    </row>
    <row r="85" spans="1:5" x14ac:dyDescent="0.35">
      <c r="A85" s="279">
        <v>46213</v>
      </c>
      <c r="B85" s="474" t="s">
        <v>776</v>
      </c>
      <c r="C85" s="4">
        <v>3</v>
      </c>
      <c r="D85" s="295"/>
      <c r="E85" s="474" t="s">
        <v>777</v>
      </c>
    </row>
    <row r="86" spans="1:5" ht="23.15" customHeight="1" x14ac:dyDescent="0.35">
      <c r="A86" s="279">
        <v>46213</v>
      </c>
      <c r="B86" s="474" t="s">
        <v>778</v>
      </c>
      <c r="C86" s="4">
        <v>4</v>
      </c>
      <c r="D86" s="296"/>
      <c r="E86" s="474" t="s">
        <v>779</v>
      </c>
    </row>
    <row r="87" spans="1:5" ht="3.65" customHeight="1" x14ac:dyDescent="0.35">
      <c r="A87" s="503"/>
      <c r="B87" s="530"/>
      <c r="C87" s="530"/>
      <c r="D87" s="530"/>
      <c r="E87" s="531"/>
    </row>
    <row r="88" spans="1:5" x14ac:dyDescent="0.35">
      <c r="A88" s="218">
        <v>46214</v>
      </c>
      <c r="B88" s="521" t="s">
        <v>739</v>
      </c>
      <c r="C88" s="521"/>
      <c r="D88" s="521"/>
      <c r="E88" s="532"/>
    </row>
    <row r="89" spans="1:5" ht="3.65" customHeight="1" x14ac:dyDescent="0.35">
      <c r="A89" s="500"/>
      <c r="B89" s="497"/>
      <c r="C89" s="497"/>
      <c r="D89" s="497"/>
      <c r="E89" s="497"/>
    </row>
    <row r="90" spans="1:5" x14ac:dyDescent="0.35">
      <c r="A90" s="218">
        <v>46215</v>
      </c>
      <c r="B90" s="521" t="s">
        <v>740</v>
      </c>
      <c r="C90" s="521"/>
      <c r="D90" s="521"/>
      <c r="E90" s="532"/>
    </row>
    <row r="91" spans="1:5" ht="3" customHeight="1" x14ac:dyDescent="0.35">
      <c r="A91" s="500"/>
      <c r="B91" s="497"/>
      <c r="C91" s="497"/>
      <c r="D91" s="497"/>
      <c r="E91" s="497"/>
    </row>
    <row r="92" spans="1:5" x14ac:dyDescent="0.35">
      <c r="A92" s="279">
        <v>46216</v>
      </c>
      <c r="B92" s="474" t="s">
        <v>81</v>
      </c>
      <c r="C92" s="4">
        <v>0.5</v>
      </c>
      <c r="D92" s="288">
        <f>SUM(C92:C97)/24</f>
        <v>0.39583333333333331</v>
      </c>
      <c r="E92" s="511" t="s">
        <v>71</v>
      </c>
    </row>
    <row r="93" spans="1:5" x14ac:dyDescent="0.35">
      <c r="A93" s="279">
        <v>46216</v>
      </c>
      <c r="B93" s="483" t="s">
        <v>82</v>
      </c>
      <c r="C93" s="4">
        <v>0.5</v>
      </c>
      <c r="D93" s="289"/>
      <c r="E93" s="512" t="s">
        <v>71</v>
      </c>
    </row>
    <row r="94" spans="1:5" x14ac:dyDescent="0.35">
      <c r="A94" s="279">
        <v>46216</v>
      </c>
      <c r="B94" s="483" t="s">
        <v>780</v>
      </c>
      <c r="C94" s="4">
        <v>3.5</v>
      </c>
      <c r="D94" s="289"/>
      <c r="E94" s="474" t="s">
        <v>781</v>
      </c>
    </row>
    <row r="95" spans="1:5" x14ac:dyDescent="0.35">
      <c r="A95" s="279">
        <v>46216</v>
      </c>
      <c r="B95" s="474" t="s">
        <v>710</v>
      </c>
      <c r="C95" s="4">
        <v>0.5</v>
      </c>
      <c r="D95" s="289"/>
      <c r="E95" s="511" t="s">
        <v>71</v>
      </c>
    </row>
    <row r="96" spans="1:5" x14ac:dyDescent="0.35">
      <c r="A96" s="279">
        <v>46216</v>
      </c>
      <c r="B96" s="474" t="s">
        <v>782</v>
      </c>
      <c r="C96" s="4">
        <v>1.5</v>
      </c>
      <c r="D96" s="289"/>
      <c r="E96" s="511" t="s">
        <v>783</v>
      </c>
    </row>
    <row r="97" spans="1:5" x14ac:dyDescent="0.35">
      <c r="A97" s="279">
        <v>46216</v>
      </c>
      <c r="B97" s="483" t="s">
        <v>784</v>
      </c>
      <c r="C97" s="25">
        <v>3</v>
      </c>
      <c r="D97" s="290"/>
      <c r="E97" s="483" t="s">
        <v>785</v>
      </c>
    </row>
    <row r="98" spans="1:5" x14ac:dyDescent="0.35">
      <c r="A98" s="500"/>
      <c r="B98" s="497"/>
      <c r="C98" s="497"/>
      <c r="D98" s="497"/>
      <c r="E98" s="497"/>
    </row>
    <row r="99" spans="1:5" x14ac:dyDescent="0.35">
      <c r="A99" s="282">
        <v>46217</v>
      </c>
      <c r="B99" s="485" t="s">
        <v>81</v>
      </c>
      <c r="C99" s="26">
        <v>0.5</v>
      </c>
      <c r="D99" s="288">
        <f>SUM(C99:C106)/24</f>
        <v>0.41666666666666669</v>
      </c>
      <c r="E99" s="520" t="s">
        <v>71</v>
      </c>
    </row>
    <row r="100" spans="1:5" x14ac:dyDescent="0.35">
      <c r="A100" s="282">
        <v>46217</v>
      </c>
      <c r="B100" s="483" t="s">
        <v>82</v>
      </c>
      <c r="C100" s="4">
        <v>0.5</v>
      </c>
      <c r="D100" s="289"/>
      <c r="E100" s="512" t="s">
        <v>71</v>
      </c>
    </row>
    <row r="101" spans="1:5" x14ac:dyDescent="0.35">
      <c r="A101" s="282">
        <v>46217</v>
      </c>
      <c r="B101" s="474" t="s">
        <v>786</v>
      </c>
      <c r="C101" s="4">
        <v>2.75</v>
      </c>
      <c r="D101" s="289"/>
      <c r="E101" s="474" t="s">
        <v>787</v>
      </c>
    </row>
    <row r="102" spans="1:5" x14ac:dyDescent="0.35">
      <c r="A102" s="282">
        <v>46217</v>
      </c>
      <c r="B102" s="474" t="s">
        <v>710</v>
      </c>
      <c r="C102" s="4">
        <v>0.5</v>
      </c>
      <c r="D102" s="289"/>
      <c r="E102" s="511" t="s">
        <v>71</v>
      </c>
    </row>
    <row r="103" spans="1:5" x14ac:dyDescent="0.35">
      <c r="A103" s="282">
        <v>46217</v>
      </c>
      <c r="B103" s="474" t="s">
        <v>788</v>
      </c>
      <c r="C103" s="4">
        <v>2.75</v>
      </c>
      <c r="D103" s="289"/>
      <c r="E103" s="474" t="s">
        <v>789</v>
      </c>
    </row>
    <row r="104" spans="1:5" x14ac:dyDescent="0.35">
      <c r="A104" s="282">
        <v>46217</v>
      </c>
      <c r="B104" s="474" t="s">
        <v>761</v>
      </c>
      <c r="C104" s="4">
        <v>0.5</v>
      </c>
      <c r="D104" s="289"/>
      <c r="E104" s="511" t="s">
        <v>762</v>
      </c>
    </row>
    <row r="105" spans="1:5" x14ac:dyDescent="0.35">
      <c r="A105" s="282">
        <v>46217</v>
      </c>
      <c r="B105" s="474" t="s">
        <v>790</v>
      </c>
      <c r="C105" s="4">
        <v>1.25</v>
      </c>
      <c r="D105" s="289"/>
      <c r="E105" s="474" t="s">
        <v>791</v>
      </c>
    </row>
    <row r="106" spans="1:5" x14ac:dyDescent="0.35">
      <c r="A106" s="282">
        <v>46217</v>
      </c>
      <c r="B106" s="474" t="s">
        <v>792</v>
      </c>
      <c r="C106" s="4">
        <v>1.25</v>
      </c>
      <c r="D106" s="290"/>
      <c r="E106" s="474" t="s">
        <v>793</v>
      </c>
    </row>
    <row r="107" spans="1:5" x14ac:dyDescent="0.35">
      <c r="A107" s="500"/>
      <c r="B107" s="497"/>
      <c r="C107" s="497"/>
      <c r="D107" s="497"/>
      <c r="E107" s="497"/>
    </row>
    <row r="108" spans="1:5" x14ac:dyDescent="0.35">
      <c r="A108" s="283">
        <v>46218</v>
      </c>
      <c r="B108" s="484" t="s">
        <v>81</v>
      </c>
      <c r="C108" s="219">
        <v>0.5</v>
      </c>
      <c r="D108" s="288">
        <f>SUM(C108:C113)/24</f>
        <v>0.39583333333333331</v>
      </c>
      <c r="E108" s="522" t="s">
        <v>71</v>
      </c>
    </row>
    <row r="109" spans="1:5" x14ac:dyDescent="0.35">
      <c r="A109" s="283">
        <v>46218</v>
      </c>
      <c r="B109" s="474" t="s">
        <v>82</v>
      </c>
      <c r="C109" s="4">
        <v>0.5</v>
      </c>
      <c r="D109" s="289"/>
      <c r="E109" s="511" t="s">
        <v>71</v>
      </c>
    </row>
    <row r="110" spans="1:5" x14ac:dyDescent="0.35">
      <c r="A110" s="283">
        <v>46218</v>
      </c>
      <c r="B110" s="474" t="s">
        <v>794</v>
      </c>
      <c r="C110" s="4">
        <v>5.5</v>
      </c>
      <c r="D110" s="289"/>
      <c r="E110" s="474" t="s">
        <v>795</v>
      </c>
    </row>
    <row r="111" spans="1:5" x14ac:dyDescent="0.35">
      <c r="A111" s="283">
        <v>46218</v>
      </c>
      <c r="B111" s="474" t="s">
        <v>710</v>
      </c>
      <c r="C111" s="4">
        <v>0.5</v>
      </c>
      <c r="D111" s="289"/>
      <c r="E111" s="511" t="s">
        <v>71</v>
      </c>
    </row>
    <row r="112" spans="1:5" x14ac:dyDescent="0.35">
      <c r="A112" s="283">
        <v>46218</v>
      </c>
      <c r="B112" s="474" t="s">
        <v>796</v>
      </c>
      <c r="C112" s="4">
        <v>2</v>
      </c>
      <c r="D112" s="289"/>
      <c r="E112" s="474" t="s">
        <v>797</v>
      </c>
    </row>
    <row r="113" spans="1:5" x14ac:dyDescent="0.35">
      <c r="A113" s="283">
        <v>46218</v>
      </c>
      <c r="B113" s="474" t="s">
        <v>761</v>
      </c>
      <c r="C113" s="4">
        <v>0.5</v>
      </c>
      <c r="D113" s="290"/>
      <c r="E113" s="511" t="s">
        <v>762</v>
      </c>
    </row>
    <row r="114" spans="1:5" x14ac:dyDescent="0.35">
      <c r="A114" s="500"/>
      <c r="B114" s="497"/>
      <c r="C114" s="497"/>
      <c r="D114" s="497"/>
      <c r="E114" s="497"/>
    </row>
    <row r="115" spans="1:5" ht="14.5" customHeight="1" x14ac:dyDescent="0.35">
      <c r="A115" s="278">
        <v>46219</v>
      </c>
      <c r="B115" s="484" t="s">
        <v>81</v>
      </c>
      <c r="C115" s="219">
        <v>0.5</v>
      </c>
      <c r="D115" s="288">
        <f>SUM(C115:C123)/24</f>
        <v>0.4375</v>
      </c>
      <c r="E115" s="522" t="s">
        <v>71</v>
      </c>
    </row>
    <row r="116" spans="1:5" ht="14.5" customHeight="1" x14ac:dyDescent="0.35">
      <c r="A116" s="278">
        <v>46219</v>
      </c>
      <c r="B116" s="474" t="s">
        <v>82</v>
      </c>
      <c r="C116" s="4">
        <v>0.5</v>
      </c>
      <c r="D116" s="289"/>
      <c r="E116" s="511" t="s">
        <v>71</v>
      </c>
    </row>
    <row r="117" spans="1:5" x14ac:dyDescent="0.35">
      <c r="A117" s="278">
        <v>46219</v>
      </c>
      <c r="B117" s="474" t="s">
        <v>798</v>
      </c>
      <c r="C117" s="4">
        <v>1.5</v>
      </c>
      <c r="D117" s="289"/>
      <c r="E117" s="474" t="s">
        <v>799</v>
      </c>
    </row>
    <row r="118" spans="1:5" x14ac:dyDescent="0.35">
      <c r="A118" s="278">
        <v>46219</v>
      </c>
      <c r="B118" s="474" t="s">
        <v>800</v>
      </c>
      <c r="C118" s="4">
        <v>1.5</v>
      </c>
      <c r="D118" s="289"/>
      <c r="E118" s="474" t="s">
        <v>801</v>
      </c>
    </row>
    <row r="119" spans="1:5" x14ac:dyDescent="0.35">
      <c r="A119" s="278">
        <v>46219</v>
      </c>
      <c r="B119" s="474" t="s">
        <v>710</v>
      </c>
      <c r="C119" s="4">
        <v>0.5</v>
      </c>
      <c r="D119" s="289"/>
      <c r="E119" s="511" t="s">
        <v>71</v>
      </c>
    </row>
    <row r="120" spans="1:5" x14ac:dyDescent="0.35">
      <c r="A120" s="278">
        <v>46219</v>
      </c>
      <c r="B120" s="474" t="s">
        <v>802</v>
      </c>
      <c r="C120" s="4">
        <v>4.5</v>
      </c>
      <c r="D120" s="289"/>
      <c r="E120" s="474" t="s">
        <v>803</v>
      </c>
    </row>
    <row r="121" spans="1:5" x14ac:dyDescent="0.35">
      <c r="A121" s="278">
        <v>46219</v>
      </c>
      <c r="B121" s="474" t="s">
        <v>761</v>
      </c>
      <c r="C121" s="4">
        <v>0.5</v>
      </c>
      <c r="D121" s="289"/>
      <c r="E121" s="511" t="s">
        <v>762</v>
      </c>
    </row>
    <row r="122" spans="1:5" x14ac:dyDescent="0.35">
      <c r="A122" s="278">
        <v>46219</v>
      </c>
      <c r="B122" s="474" t="s">
        <v>804</v>
      </c>
      <c r="C122" s="4">
        <v>0.5</v>
      </c>
      <c r="D122" s="289"/>
      <c r="E122" s="511" t="s">
        <v>71</v>
      </c>
    </row>
    <row r="123" spans="1:5" x14ac:dyDescent="0.35">
      <c r="A123" s="278">
        <v>46219</v>
      </c>
      <c r="B123" s="474" t="s">
        <v>805</v>
      </c>
      <c r="C123" s="4">
        <v>0.5</v>
      </c>
      <c r="D123" s="290"/>
      <c r="E123" s="511" t="s">
        <v>71</v>
      </c>
    </row>
    <row r="124" spans="1:5" x14ac:dyDescent="0.35">
      <c r="A124" s="500"/>
      <c r="B124" s="497"/>
      <c r="C124" s="497"/>
      <c r="D124" s="497"/>
      <c r="E124" s="497"/>
    </row>
    <row r="125" spans="1:5" x14ac:dyDescent="0.35">
      <c r="A125" s="283">
        <v>46220</v>
      </c>
      <c r="B125" s="484" t="s">
        <v>81</v>
      </c>
      <c r="C125" s="219">
        <v>0.5</v>
      </c>
      <c r="D125" s="288">
        <f>SUM(C125:C137)/24</f>
        <v>0.4375</v>
      </c>
      <c r="E125" s="522" t="s">
        <v>71</v>
      </c>
    </row>
    <row r="126" spans="1:5" x14ac:dyDescent="0.35">
      <c r="A126" s="283">
        <v>46220</v>
      </c>
      <c r="B126" s="474" t="s">
        <v>82</v>
      </c>
      <c r="C126" s="4">
        <v>0.5</v>
      </c>
      <c r="D126" s="289"/>
      <c r="E126" s="511" t="s">
        <v>71</v>
      </c>
    </row>
    <row r="127" spans="1:5" x14ac:dyDescent="0.35">
      <c r="A127" s="283">
        <v>46220</v>
      </c>
      <c r="B127" s="474" t="s">
        <v>710</v>
      </c>
      <c r="C127" s="4">
        <v>0.5</v>
      </c>
      <c r="D127" s="289"/>
      <c r="E127" s="511" t="s">
        <v>71</v>
      </c>
    </row>
    <row r="128" spans="1:5" x14ac:dyDescent="0.35">
      <c r="A128" s="283">
        <v>46220</v>
      </c>
      <c r="B128" s="483" t="s">
        <v>806</v>
      </c>
      <c r="C128" s="25">
        <v>1</v>
      </c>
      <c r="D128" s="289"/>
      <c r="E128" s="483" t="s">
        <v>807</v>
      </c>
    </row>
    <row r="129" spans="1:5" x14ac:dyDescent="0.35">
      <c r="A129" s="283">
        <v>46220</v>
      </c>
      <c r="B129" s="483" t="s">
        <v>12</v>
      </c>
      <c r="C129" s="25">
        <v>0.5</v>
      </c>
      <c r="D129" s="289"/>
      <c r="E129" s="512" t="s">
        <v>71</v>
      </c>
    </row>
    <row r="130" spans="1:5" x14ac:dyDescent="0.35">
      <c r="A130" s="283">
        <v>46220</v>
      </c>
      <c r="B130" s="474" t="s">
        <v>761</v>
      </c>
      <c r="C130" s="25">
        <v>0.5</v>
      </c>
      <c r="D130" s="289"/>
      <c r="E130" s="512" t="s">
        <v>762</v>
      </c>
    </row>
    <row r="131" spans="1:5" x14ac:dyDescent="0.35">
      <c r="A131" s="283">
        <v>46220</v>
      </c>
      <c r="B131" s="523" t="s">
        <v>808</v>
      </c>
      <c r="C131" s="4">
        <v>1</v>
      </c>
      <c r="D131" s="289"/>
      <c r="E131" s="524" t="s">
        <v>809</v>
      </c>
    </row>
    <row r="132" spans="1:5" x14ac:dyDescent="0.35">
      <c r="A132" s="283">
        <v>46220</v>
      </c>
      <c r="B132" s="523" t="s">
        <v>808</v>
      </c>
      <c r="C132" s="4">
        <v>1</v>
      </c>
      <c r="D132" s="289"/>
      <c r="E132" s="524" t="s">
        <v>810</v>
      </c>
    </row>
    <row r="133" spans="1:5" x14ac:dyDescent="0.35">
      <c r="A133" s="283">
        <v>46220</v>
      </c>
      <c r="B133" s="523" t="s">
        <v>808</v>
      </c>
      <c r="C133" s="4">
        <v>1</v>
      </c>
      <c r="D133" s="289"/>
      <c r="E133" s="524" t="s">
        <v>811</v>
      </c>
    </row>
    <row r="134" spans="1:5" x14ac:dyDescent="0.35">
      <c r="A134" s="283">
        <v>46220</v>
      </c>
      <c r="B134" s="523" t="s">
        <v>808</v>
      </c>
      <c r="C134" s="4">
        <v>1</v>
      </c>
      <c r="D134" s="289"/>
      <c r="E134" s="524" t="s">
        <v>812</v>
      </c>
    </row>
    <row r="135" spans="1:5" x14ac:dyDescent="0.35">
      <c r="A135" s="283">
        <v>46220</v>
      </c>
      <c r="B135" s="523" t="s">
        <v>808</v>
      </c>
      <c r="C135" s="4">
        <v>1</v>
      </c>
      <c r="D135" s="289"/>
      <c r="E135" s="524" t="s">
        <v>813</v>
      </c>
    </row>
    <row r="136" spans="1:5" x14ac:dyDescent="0.35">
      <c r="A136" s="283">
        <v>46220</v>
      </c>
      <c r="B136" s="474" t="s">
        <v>814</v>
      </c>
      <c r="C136" s="4">
        <v>1.5</v>
      </c>
      <c r="D136" s="289"/>
      <c r="E136" s="474" t="s">
        <v>815</v>
      </c>
    </row>
    <row r="137" spans="1:5" x14ac:dyDescent="0.35">
      <c r="A137" s="283">
        <v>46220</v>
      </c>
      <c r="B137" s="474" t="s">
        <v>816</v>
      </c>
      <c r="C137" s="4">
        <v>0.5</v>
      </c>
      <c r="D137" s="290"/>
      <c r="E137" s="511" t="s">
        <v>127</v>
      </c>
    </row>
    <row r="138" spans="1:5" ht="3" customHeight="1" x14ac:dyDescent="0.35">
      <c r="A138" s="503"/>
      <c r="B138" s="530"/>
      <c r="C138" s="530"/>
      <c r="D138" s="530"/>
      <c r="E138" s="531"/>
    </row>
    <row r="139" spans="1:5" x14ac:dyDescent="0.35">
      <c r="A139" s="218">
        <v>46221</v>
      </c>
      <c r="B139" s="521" t="s">
        <v>739</v>
      </c>
      <c r="C139" s="521"/>
      <c r="D139" s="521"/>
      <c r="E139" s="532"/>
    </row>
    <row r="140" spans="1:5" ht="3.65" customHeight="1" x14ac:dyDescent="0.35">
      <c r="A140" s="500"/>
      <c r="B140" s="497"/>
      <c r="C140" s="497"/>
      <c r="D140" s="497"/>
      <c r="E140" s="497"/>
    </row>
    <row r="141" spans="1:5" x14ac:dyDescent="0.35">
      <c r="A141" s="218">
        <v>46222</v>
      </c>
      <c r="B141" s="521" t="s">
        <v>740</v>
      </c>
      <c r="C141" s="521"/>
      <c r="D141" s="521"/>
      <c r="E141" s="532"/>
    </row>
    <row r="142" spans="1:5" ht="3.65" customHeight="1" x14ac:dyDescent="0.35">
      <c r="A142" s="500"/>
      <c r="B142" s="497"/>
      <c r="C142" s="497"/>
      <c r="D142" s="498"/>
      <c r="E142" s="497"/>
    </row>
    <row r="143" spans="1:5" s="499" customFormat="1" x14ac:dyDescent="0.35">
      <c r="A143" s="284">
        <v>46223</v>
      </c>
      <c r="B143" s="487" t="s">
        <v>81</v>
      </c>
      <c r="C143" s="244">
        <v>0.5</v>
      </c>
      <c r="D143" s="288">
        <f>SUM(C143:C150)/24</f>
        <v>0.375</v>
      </c>
      <c r="E143" s="525" t="s">
        <v>71</v>
      </c>
    </row>
    <row r="144" spans="1:5" s="499" customFormat="1" x14ac:dyDescent="0.35">
      <c r="A144" s="284">
        <v>46223</v>
      </c>
      <c r="B144" s="486" t="s">
        <v>82</v>
      </c>
      <c r="C144" s="245">
        <v>0.5</v>
      </c>
      <c r="D144" s="289"/>
      <c r="E144" s="526" t="s">
        <v>71</v>
      </c>
    </row>
    <row r="145" spans="1:5" s="499" customFormat="1" x14ac:dyDescent="0.35">
      <c r="A145" s="284">
        <v>46223</v>
      </c>
      <c r="B145" s="486" t="s">
        <v>710</v>
      </c>
      <c r="C145" s="245">
        <v>0.5</v>
      </c>
      <c r="D145" s="289"/>
      <c r="E145" s="526" t="s">
        <v>71</v>
      </c>
    </row>
    <row r="146" spans="1:5" x14ac:dyDescent="0.35">
      <c r="A146" s="284">
        <v>46223</v>
      </c>
      <c r="B146" s="474" t="s">
        <v>817</v>
      </c>
      <c r="C146" s="23">
        <v>1</v>
      </c>
      <c r="D146" s="289"/>
      <c r="E146" s="510" t="s">
        <v>818</v>
      </c>
    </row>
    <row r="147" spans="1:5" x14ac:dyDescent="0.35">
      <c r="A147" s="284">
        <v>46223</v>
      </c>
      <c r="B147" s="474" t="s">
        <v>819</v>
      </c>
      <c r="C147" s="245">
        <v>2</v>
      </c>
      <c r="D147" s="289"/>
      <c r="E147" s="510" t="s">
        <v>820</v>
      </c>
    </row>
    <row r="148" spans="1:5" x14ac:dyDescent="0.35">
      <c r="A148" s="284">
        <v>46223</v>
      </c>
      <c r="B148" s="474" t="s">
        <v>821</v>
      </c>
      <c r="C148" s="245">
        <v>2</v>
      </c>
      <c r="D148" s="289"/>
      <c r="E148" s="510" t="s">
        <v>822</v>
      </c>
    </row>
    <row r="149" spans="1:5" x14ac:dyDescent="0.35">
      <c r="A149" s="284">
        <v>46223</v>
      </c>
      <c r="B149" s="474" t="s">
        <v>823</v>
      </c>
      <c r="C149" s="245">
        <v>2</v>
      </c>
      <c r="D149" s="289"/>
      <c r="E149" s="510" t="s">
        <v>824</v>
      </c>
    </row>
    <row r="150" spans="1:5" x14ac:dyDescent="0.35">
      <c r="A150" s="284">
        <v>46223</v>
      </c>
      <c r="B150" s="474" t="s">
        <v>761</v>
      </c>
      <c r="C150" s="23">
        <v>0.5</v>
      </c>
      <c r="D150" s="290"/>
      <c r="E150" s="518" t="s">
        <v>762</v>
      </c>
    </row>
    <row r="151" spans="1:5" x14ac:dyDescent="0.35">
      <c r="A151" s="501"/>
      <c r="B151" s="498"/>
      <c r="C151" s="498"/>
      <c r="D151" s="498"/>
      <c r="E151" s="498"/>
    </row>
    <row r="152" spans="1:5" s="499" customFormat="1" x14ac:dyDescent="0.35">
      <c r="A152" s="278">
        <v>46224</v>
      </c>
      <c r="B152" s="486" t="s">
        <v>81</v>
      </c>
      <c r="C152" s="243">
        <v>0.5</v>
      </c>
      <c r="D152" s="288">
        <f>SUM(C152:C158)/24</f>
        <v>0.38541666666666669</v>
      </c>
      <c r="E152" s="527" t="s">
        <v>71</v>
      </c>
    </row>
    <row r="153" spans="1:5" s="499" customFormat="1" x14ac:dyDescent="0.35">
      <c r="A153" s="278">
        <v>46224</v>
      </c>
      <c r="B153" s="486" t="s">
        <v>82</v>
      </c>
      <c r="C153" s="245">
        <v>0.5</v>
      </c>
      <c r="D153" s="289"/>
      <c r="E153" s="526" t="s">
        <v>71</v>
      </c>
    </row>
    <row r="154" spans="1:5" s="499" customFormat="1" x14ac:dyDescent="0.35">
      <c r="A154" s="278">
        <v>46224</v>
      </c>
      <c r="B154" s="486" t="s">
        <v>710</v>
      </c>
      <c r="C154" s="245">
        <v>0.5</v>
      </c>
      <c r="D154" s="289"/>
      <c r="E154" s="526" t="s">
        <v>71</v>
      </c>
    </row>
    <row r="155" spans="1:5" x14ac:dyDescent="0.35">
      <c r="A155" s="278">
        <v>46224</v>
      </c>
      <c r="B155" s="474" t="s">
        <v>1832</v>
      </c>
      <c r="C155" s="243">
        <v>3.75</v>
      </c>
      <c r="D155" s="289"/>
      <c r="E155" s="474" t="s">
        <v>825</v>
      </c>
    </row>
    <row r="156" spans="1:5" x14ac:dyDescent="0.35">
      <c r="A156" s="278">
        <v>46224</v>
      </c>
      <c r="B156" s="248" t="s">
        <v>12</v>
      </c>
      <c r="C156" s="243">
        <v>1</v>
      </c>
      <c r="D156" s="289"/>
      <c r="E156" s="511" t="s">
        <v>71</v>
      </c>
    </row>
    <row r="157" spans="1:5" x14ac:dyDescent="0.35">
      <c r="A157" s="278">
        <v>46224</v>
      </c>
      <c r="B157" s="474" t="s">
        <v>761</v>
      </c>
      <c r="C157" s="243">
        <v>0.5</v>
      </c>
      <c r="D157" s="289"/>
      <c r="E157" s="518" t="s">
        <v>762</v>
      </c>
    </row>
    <row r="158" spans="1:5" x14ac:dyDescent="0.35">
      <c r="A158" s="278">
        <v>46224</v>
      </c>
      <c r="B158" s="474" t="s">
        <v>157</v>
      </c>
      <c r="C158" s="243">
        <v>2.5</v>
      </c>
      <c r="D158" s="290"/>
      <c r="E158" s="474" t="s">
        <v>826</v>
      </c>
    </row>
    <row r="159" spans="1:5" x14ac:dyDescent="0.35">
      <c r="A159" s="500"/>
      <c r="B159" s="497"/>
      <c r="C159" s="497"/>
      <c r="D159" s="497"/>
      <c r="E159" s="497"/>
    </row>
    <row r="160" spans="1:5" s="499" customFormat="1" x14ac:dyDescent="0.35">
      <c r="A160" s="278">
        <v>46225</v>
      </c>
      <c r="B160" s="486" t="s">
        <v>81</v>
      </c>
      <c r="C160" s="243">
        <v>0.5</v>
      </c>
      <c r="D160" s="288">
        <f>SUM(C160:C167)/24</f>
        <v>0.375</v>
      </c>
      <c r="E160" s="527" t="s">
        <v>71</v>
      </c>
    </row>
    <row r="161" spans="1:5" s="499" customFormat="1" x14ac:dyDescent="0.35">
      <c r="A161" s="278">
        <v>46225</v>
      </c>
      <c r="B161" s="486" t="s">
        <v>82</v>
      </c>
      <c r="C161" s="245">
        <v>0.5</v>
      </c>
      <c r="D161" s="289"/>
      <c r="E161" s="526" t="s">
        <v>71</v>
      </c>
    </row>
    <row r="162" spans="1:5" s="499" customFormat="1" x14ac:dyDescent="0.35">
      <c r="A162" s="278">
        <v>46225</v>
      </c>
      <c r="B162" s="486" t="s">
        <v>710</v>
      </c>
      <c r="C162" s="245">
        <v>0.5</v>
      </c>
      <c r="D162" s="289"/>
      <c r="E162" s="526" t="s">
        <v>71</v>
      </c>
    </row>
    <row r="163" spans="1:5" x14ac:dyDescent="0.35">
      <c r="A163" s="278">
        <v>46225</v>
      </c>
      <c r="B163" s="474" t="s">
        <v>156</v>
      </c>
      <c r="C163" s="245">
        <v>1</v>
      </c>
      <c r="D163" s="289"/>
      <c r="E163" s="511" t="s">
        <v>71</v>
      </c>
    </row>
    <row r="164" spans="1:5" x14ac:dyDescent="0.35">
      <c r="A164" s="278">
        <v>46225</v>
      </c>
      <c r="B164" s="474" t="s">
        <v>761</v>
      </c>
      <c r="C164" s="243">
        <v>0.5</v>
      </c>
      <c r="D164" s="289"/>
      <c r="E164" s="518" t="s">
        <v>762</v>
      </c>
    </row>
    <row r="165" spans="1:5" x14ac:dyDescent="0.35">
      <c r="A165" s="278">
        <v>46225</v>
      </c>
      <c r="B165" s="474" t="s">
        <v>1833</v>
      </c>
      <c r="C165" s="245">
        <v>1</v>
      </c>
      <c r="D165" s="289"/>
      <c r="E165" s="474" t="s">
        <v>827</v>
      </c>
    </row>
    <row r="166" spans="1:5" x14ac:dyDescent="0.35">
      <c r="A166" s="278">
        <v>46225</v>
      </c>
      <c r="B166" s="474" t="s">
        <v>828</v>
      </c>
      <c r="C166" s="243">
        <v>2.5</v>
      </c>
      <c r="D166" s="289"/>
      <c r="E166" s="474" t="s">
        <v>829</v>
      </c>
    </row>
    <row r="167" spans="1:5" x14ac:dyDescent="0.35">
      <c r="A167" s="278">
        <v>46225</v>
      </c>
      <c r="B167" s="474" t="s">
        <v>157</v>
      </c>
      <c r="C167" s="243">
        <v>2.5</v>
      </c>
      <c r="D167" s="290"/>
      <c r="E167" s="474" t="s">
        <v>826</v>
      </c>
    </row>
    <row r="168" spans="1:5" x14ac:dyDescent="0.35">
      <c r="A168" s="500"/>
      <c r="B168" s="497"/>
      <c r="C168" s="497"/>
      <c r="D168" s="497"/>
      <c r="E168" s="497"/>
    </row>
    <row r="169" spans="1:5" s="499" customFormat="1" x14ac:dyDescent="0.35">
      <c r="A169" s="278">
        <v>46226</v>
      </c>
      <c r="B169" s="486" t="s">
        <v>81</v>
      </c>
      <c r="C169" s="243">
        <v>0.5</v>
      </c>
      <c r="D169" s="288">
        <f>SUM(C169:C177)/24</f>
        <v>0.41666666666666669</v>
      </c>
      <c r="E169" s="527" t="s">
        <v>71</v>
      </c>
    </row>
    <row r="170" spans="1:5" s="499" customFormat="1" x14ac:dyDescent="0.35">
      <c r="A170" s="278">
        <v>46226</v>
      </c>
      <c r="B170" s="486" t="s">
        <v>82</v>
      </c>
      <c r="C170" s="245">
        <v>0.5</v>
      </c>
      <c r="D170" s="289"/>
      <c r="E170" s="526" t="s">
        <v>71</v>
      </c>
    </row>
    <row r="171" spans="1:5" s="499" customFormat="1" x14ac:dyDescent="0.35">
      <c r="A171" s="278">
        <v>46226</v>
      </c>
      <c r="B171" s="486" t="s">
        <v>710</v>
      </c>
      <c r="C171" s="245">
        <v>0.5</v>
      </c>
      <c r="D171" s="289"/>
      <c r="E171" s="526" t="s">
        <v>71</v>
      </c>
    </row>
    <row r="172" spans="1:5" x14ac:dyDescent="0.35">
      <c r="A172" s="278">
        <v>46226</v>
      </c>
      <c r="B172" s="474" t="s">
        <v>156</v>
      </c>
      <c r="C172" s="245">
        <v>1</v>
      </c>
      <c r="D172" s="289"/>
      <c r="E172" s="511" t="s">
        <v>71</v>
      </c>
    </row>
    <row r="173" spans="1:5" x14ac:dyDescent="0.35">
      <c r="A173" s="278">
        <v>46226</v>
      </c>
      <c r="B173" s="474" t="s">
        <v>830</v>
      </c>
      <c r="C173" s="245">
        <v>1</v>
      </c>
      <c r="D173" s="289"/>
      <c r="E173" s="511" t="s">
        <v>71</v>
      </c>
    </row>
    <row r="174" spans="1:5" x14ac:dyDescent="0.35">
      <c r="A174" s="278">
        <v>46226</v>
      </c>
      <c r="B174" s="474" t="s">
        <v>828</v>
      </c>
      <c r="C174" s="243">
        <v>1</v>
      </c>
      <c r="D174" s="289"/>
      <c r="E174" s="474" t="s">
        <v>829</v>
      </c>
    </row>
    <row r="175" spans="1:5" x14ac:dyDescent="0.35">
      <c r="A175" s="278">
        <v>46226</v>
      </c>
      <c r="B175" s="486" t="s">
        <v>831</v>
      </c>
      <c r="C175" s="245">
        <v>2</v>
      </c>
      <c r="D175" s="289"/>
      <c r="E175" s="486" t="s">
        <v>832</v>
      </c>
    </row>
    <row r="176" spans="1:5" x14ac:dyDescent="0.35">
      <c r="A176" s="278">
        <v>46226</v>
      </c>
      <c r="B176" s="474" t="s">
        <v>761</v>
      </c>
      <c r="C176" s="243">
        <v>0.5</v>
      </c>
      <c r="D176" s="289"/>
      <c r="E176" s="518" t="s">
        <v>762</v>
      </c>
    </row>
    <row r="177" spans="1:5" x14ac:dyDescent="0.35">
      <c r="A177" s="278">
        <v>46226</v>
      </c>
      <c r="B177" s="486" t="s">
        <v>833</v>
      </c>
      <c r="C177" s="245">
        <v>3</v>
      </c>
      <c r="D177" s="290"/>
      <c r="E177" s="486" t="s">
        <v>834</v>
      </c>
    </row>
    <row r="178" spans="1:5" x14ac:dyDescent="0.35">
      <c r="A178" s="500"/>
      <c r="B178" s="497"/>
      <c r="C178" s="497"/>
      <c r="D178" s="497"/>
      <c r="E178" s="497"/>
    </row>
    <row r="179" spans="1:5" s="499" customFormat="1" x14ac:dyDescent="0.35">
      <c r="A179" s="278">
        <v>46227</v>
      </c>
      <c r="B179" s="486" t="s">
        <v>81</v>
      </c>
      <c r="C179" s="243">
        <v>0.5</v>
      </c>
      <c r="D179" s="288">
        <f>SUM(C179:C186)/24</f>
        <v>0.39583333333333331</v>
      </c>
      <c r="E179" s="527" t="s">
        <v>71</v>
      </c>
    </row>
    <row r="180" spans="1:5" s="499" customFormat="1" x14ac:dyDescent="0.35">
      <c r="A180" s="278">
        <v>46227</v>
      </c>
      <c r="B180" s="486" t="s">
        <v>82</v>
      </c>
      <c r="C180" s="245">
        <v>0.5</v>
      </c>
      <c r="D180" s="289"/>
      <c r="E180" s="526" t="s">
        <v>71</v>
      </c>
    </row>
    <row r="181" spans="1:5" s="499" customFormat="1" x14ac:dyDescent="0.35">
      <c r="A181" s="278">
        <v>46227</v>
      </c>
      <c r="B181" s="486" t="s">
        <v>710</v>
      </c>
      <c r="C181" s="245">
        <v>0.5</v>
      </c>
      <c r="D181" s="289"/>
      <c r="E181" s="526" t="s">
        <v>71</v>
      </c>
    </row>
    <row r="182" spans="1:5" x14ac:dyDescent="0.35">
      <c r="A182" s="278">
        <v>46227</v>
      </c>
      <c r="B182" s="486" t="s">
        <v>835</v>
      </c>
      <c r="C182" s="245">
        <v>1</v>
      </c>
      <c r="D182" s="289"/>
      <c r="E182" s="486" t="s">
        <v>836</v>
      </c>
    </row>
    <row r="183" spans="1:5" x14ac:dyDescent="0.35">
      <c r="A183" s="278">
        <v>46227</v>
      </c>
      <c r="B183" s="486" t="s">
        <v>837</v>
      </c>
      <c r="C183" s="245">
        <v>4</v>
      </c>
      <c r="D183" s="289"/>
      <c r="E183" s="486" t="s">
        <v>838</v>
      </c>
    </row>
    <row r="184" spans="1:5" x14ac:dyDescent="0.35">
      <c r="A184" s="278">
        <v>46227</v>
      </c>
      <c r="B184" s="486" t="s">
        <v>839</v>
      </c>
      <c r="C184" s="245">
        <v>1.25</v>
      </c>
      <c r="D184" s="289"/>
      <c r="E184" s="486" t="s">
        <v>840</v>
      </c>
    </row>
    <row r="185" spans="1:5" x14ac:dyDescent="0.35">
      <c r="A185" s="278">
        <v>46227</v>
      </c>
      <c r="B185" s="486" t="s">
        <v>841</v>
      </c>
      <c r="C185" s="245">
        <v>1.25</v>
      </c>
      <c r="D185" s="289"/>
      <c r="E185" s="486" t="s">
        <v>842</v>
      </c>
    </row>
    <row r="186" spans="1:5" x14ac:dyDescent="0.35">
      <c r="A186" s="278">
        <v>46227</v>
      </c>
      <c r="B186" s="474" t="s">
        <v>761</v>
      </c>
      <c r="C186" s="243">
        <v>0.5</v>
      </c>
      <c r="D186" s="290"/>
      <c r="E186" s="518" t="s">
        <v>762</v>
      </c>
    </row>
    <row r="187" spans="1:5" x14ac:dyDescent="0.35">
      <c r="A187" s="500"/>
      <c r="B187" s="497"/>
      <c r="C187" s="497"/>
      <c r="D187" s="497"/>
      <c r="E187" s="497"/>
    </row>
    <row r="188" spans="1:5" s="499" customFormat="1" x14ac:dyDescent="0.35">
      <c r="A188" s="278">
        <v>46230</v>
      </c>
      <c r="B188" s="486" t="s">
        <v>81</v>
      </c>
      <c r="C188" s="243">
        <v>0.5</v>
      </c>
      <c r="D188" s="288">
        <f>SUM(C188:C194)/24</f>
        <v>0.39583333333333331</v>
      </c>
      <c r="E188" s="527" t="s">
        <v>71</v>
      </c>
    </row>
    <row r="189" spans="1:5" s="499" customFormat="1" x14ac:dyDescent="0.35">
      <c r="A189" s="278">
        <v>46230</v>
      </c>
      <c r="B189" s="486" t="s">
        <v>82</v>
      </c>
      <c r="C189" s="243">
        <v>0.5</v>
      </c>
      <c r="D189" s="289"/>
      <c r="E189" s="527" t="s">
        <v>71</v>
      </c>
    </row>
    <row r="190" spans="1:5" s="499" customFormat="1" x14ac:dyDescent="0.35">
      <c r="A190" s="278">
        <v>46230</v>
      </c>
      <c r="B190" s="486" t="s">
        <v>710</v>
      </c>
      <c r="C190" s="243">
        <v>0.5</v>
      </c>
      <c r="D190" s="289"/>
      <c r="E190" s="527" t="s">
        <v>71</v>
      </c>
    </row>
    <row r="191" spans="1:5" x14ac:dyDescent="0.35">
      <c r="A191" s="278">
        <v>46230</v>
      </c>
      <c r="B191" s="474" t="s">
        <v>1625</v>
      </c>
      <c r="C191" s="4">
        <v>4.5</v>
      </c>
      <c r="D191" s="289"/>
      <c r="E191" s="474" t="s">
        <v>803</v>
      </c>
    </row>
    <row r="192" spans="1:5" x14ac:dyDescent="0.35">
      <c r="A192" s="278">
        <v>46230</v>
      </c>
      <c r="B192" s="486" t="s">
        <v>1626</v>
      </c>
      <c r="C192" s="243">
        <v>2</v>
      </c>
      <c r="D192" s="289"/>
      <c r="E192" s="474" t="s">
        <v>1627</v>
      </c>
    </row>
    <row r="193" spans="1:5" x14ac:dyDescent="0.35">
      <c r="A193" s="278">
        <v>46230</v>
      </c>
      <c r="B193" s="474" t="s">
        <v>761</v>
      </c>
      <c r="C193" s="243">
        <v>0.5</v>
      </c>
      <c r="D193" s="289"/>
      <c r="E193" s="511" t="s">
        <v>762</v>
      </c>
    </row>
    <row r="194" spans="1:5" x14ac:dyDescent="0.35">
      <c r="A194" s="278">
        <v>46230</v>
      </c>
      <c r="B194" s="474" t="s">
        <v>1628</v>
      </c>
      <c r="C194" s="243">
        <v>1</v>
      </c>
      <c r="D194" s="290"/>
      <c r="E194" s="511" t="s">
        <v>71</v>
      </c>
    </row>
    <row r="195" spans="1:5" x14ac:dyDescent="0.35">
      <c r="A195" s="500"/>
      <c r="B195" s="497"/>
      <c r="C195" s="497"/>
      <c r="D195" s="497"/>
      <c r="E195" s="497"/>
    </row>
    <row r="196" spans="1:5" s="499" customFormat="1" x14ac:dyDescent="0.35">
      <c r="A196" s="278">
        <v>46231</v>
      </c>
      <c r="B196" s="486" t="s">
        <v>81</v>
      </c>
      <c r="C196" s="243">
        <v>0.5</v>
      </c>
      <c r="D196" s="288">
        <f>SUM(C196:C203)/24</f>
        <v>0.41666666666666669</v>
      </c>
      <c r="E196" s="527" t="s">
        <v>71</v>
      </c>
    </row>
    <row r="197" spans="1:5" s="499" customFormat="1" x14ac:dyDescent="0.35">
      <c r="A197" s="278">
        <v>46231</v>
      </c>
      <c r="B197" s="486" t="s">
        <v>82</v>
      </c>
      <c r="C197" s="243">
        <v>0.5</v>
      </c>
      <c r="D197" s="289"/>
      <c r="E197" s="527" t="s">
        <v>71</v>
      </c>
    </row>
    <row r="198" spans="1:5" x14ac:dyDescent="0.35">
      <c r="A198" s="278">
        <v>46231</v>
      </c>
      <c r="B198" s="474" t="s">
        <v>1703</v>
      </c>
      <c r="C198" s="243">
        <v>5.5</v>
      </c>
      <c r="D198" s="289"/>
      <c r="E198" s="447" t="s">
        <v>1705</v>
      </c>
    </row>
    <row r="199" spans="1:5" x14ac:dyDescent="0.35">
      <c r="A199" s="278">
        <v>46231</v>
      </c>
      <c r="B199" s="474" t="s">
        <v>1704</v>
      </c>
      <c r="C199" s="243">
        <v>1</v>
      </c>
      <c r="D199" s="289"/>
      <c r="E199" s="474" t="s">
        <v>1647</v>
      </c>
    </row>
    <row r="200" spans="1:5" s="499" customFormat="1" x14ac:dyDescent="0.35">
      <c r="A200" s="278">
        <v>46231</v>
      </c>
      <c r="B200" s="486" t="s">
        <v>710</v>
      </c>
      <c r="C200" s="243">
        <v>0.5</v>
      </c>
      <c r="D200" s="289"/>
      <c r="E200" s="527" t="s">
        <v>71</v>
      </c>
    </row>
    <row r="201" spans="1:5" x14ac:dyDescent="0.35">
      <c r="A201" s="278">
        <v>46231</v>
      </c>
      <c r="B201" s="474" t="s">
        <v>761</v>
      </c>
      <c r="C201" s="243">
        <v>0.5</v>
      </c>
      <c r="D201" s="289"/>
      <c r="E201" s="511" t="s">
        <v>762</v>
      </c>
    </row>
    <row r="202" spans="1:5" x14ac:dyDescent="0.35">
      <c r="A202" s="278">
        <v>46231</v>
      </c>
      <c r="B202" s="474" t="s">
        <v>1676</v>
      </c>
      <c r="C202" s="243">
        <v>0.5</v>
      </c>
      <c r="D202" s="289"/>
      <c r="E202" s="474" t="s">
        <v>1675</v>
      </c>
    </row>
    <row r="203" spans="1:5" x14ac:dyDescent="0.35">
      <c r="A203" s="278">
        <v>46231</v>
      </c>
      <c r="B203" s="474" t="s">
        <v>1651</v>
      </c>
      <c r="C203" s="243">
        <v>1</v>
      </c>
      <c r="D203" s="290"/>
      <c r="E203" s="511" t="s">
        <v>71</v>
      </c>
    </row>
    <row r="204" spans="1:5" x14ac:dyDescent="0.35">
      <c r="A204" s="500"/>
      <c r="B204" s="497"/>
      <c r="C204" s="497"/>
      <c r="D204" s="497"/>
      <c r="E204" s="497"/>
    </row>
    <row r="205" spans="1:5" s="499" customFormat="1" x14ac:dyDescent="0.35">
      <c r="A205" s="282">
        <v>46232</v>
      </c>
      <c r="B205" s="486" t="s">
        <v>81</v>
      </c>
      <c r="C205" s="243">
        <v>0.5</v>
      </c>
      <c r="D205" s="288">
        <f>SUM(C205:C210)/24</f>
        <v>0.375</v>
      </c>
      <c r="E205" s="527" t="s">
        <v>71</v>
      </c>
    </row>
    <row r="206" spans="1:5" s="499" customFormat="1" ht="14" customHeight="1" x14ac:dyDescent="0.35">
      <c r="A206" s="282">
        <v>46232</v>
      </c>
      <c r="B206" s="486" t="s">
        <v>82</v>
      </c>
      <c r="C206" s="243">
        <v>0.5</v>
      </c>
      <c r="D206" s="289"/>
      <c r="E206" s="527" t="s">
        <v>71</v>
      </c>
    </row>
    <row r="207" spans="1:5" s="499" customFormat="1" x14ac:dyDescent="0.35">
      <c r="A207" s="282">
        <v>46232</v>
      </c>
      <c r="B207" s="486" t="s">
        <v>710</v>
      </c>
      <c r="C207" s="243">
        <v>0.5</v>
      </c>
      <c r="D207" s="289"/>
      <c r="E207" s="527" t="s">
        <v>71</v>
      </c>
    </row>
    <row r="208" spans="1:5" x14ac:dyDescent="0.35">
      <c r="A208" s="282">
        <v>46232</v>
      </c>
      <c r="B208" s="474" t="s">
        <v>761</v>
      </c>
      <c r="C208" s="243">
        <v>0.5</v>
      </c>
      <c r="D208" s="289"/>
      <c r="E208" s="511" t="s">
        <v>762</v>
      </c>
    </row>
    <row r="209" spans="1:5" x14ac:dyDescent="0.35">
      <c r="A209" s="282">
        <v>46232</v>
      </c>
      <c r="B209" s="486" t="s">
        <v>837</v>
      </c>
      <c r="C209" s="245">
        <v>6</v>
      </c>
      <c r="D209" s="289"/>
      <c r="E209" s="486" t="s">
        <v>1765</v>
      </c>
    </row>
    <row r="210" spans="1:5" x14ac:dyDescent="0.35">
      <c r="A210" s="282">
        <v>46232</v>
      </c>
      <c r="B210" s="487" t="s">
        <v>1857</v>
      </c>
      <c r="C210" s="244">
        <v>1</v>
      </c>
      <c r="D210" s="290"/>
      <c r="E210" s="436" t="s">
        <v>1858</v>
      </c>
    </row>
    <row r="211" spans="1:5" x14ac:dyDescent="0.35">
      <c r="A211" s="500"/>
      <c r="B211" s="497"/>
      <c r="C211" s="497"/>
      <c r="D211" s="497"/>
      <c r="E211" s="497"/>
    </row>
    <row r="212" spans="1:5" x14ac:dyDescent="0.35">
      <c r="A212" s="283">
        <v>46233</v>
      </c>
      <c r="B212" s="486" t="s">
        <v>1834</v>
      </c>
      <c r="C212" s="243">
        <v>0.5</v>
      </c>
      <c r="D212" s="288">
        <f>SUM(C212:C219)/24</f>
        <v>0.4375</v>
      </c>
      <c r="E212" s="474" t="s">
        <v>1835</v>
      </c>
    </row>
    <row r="213" spans="1:5" s="499" customFormat="1" x14ac:dyDescent="0.35">
      <c r="A213" s="283">
        <v>46233</v>
      </c>
      <c r="B213" s="528" t="s">
        <v>1837</v>
      </c>
      <c r="C213" s="465">
        <v>0.5</v>
      </c>
      <c r="D213" s="289"/>
      <c r="E213" s="474" t="s">
        <v>1838</v>
      </c>
    </row>
    <row r="214" spans="1:5" s="499" customFormat="1" x14ac:dyDescent="0.35">
      <c r="A214" s="283">
        <v>46233</v>
      </c>
      <c r="B214" s="486" t="s">
        <v>1836</v>
      </c>
      <c r="C214" s="465">
        <v>0.5</v>
      </c>
      <c r="D214" s="289"/>
      <c r="E214" s="474" t="s">
        <v>1839</v>
      </c>
    </row>
    <row r="215" spans="1:5" s="499" customFormat="1" x14ac:dyDescent="0.35">
      <c r="A215" s="283">
        <v>46233</v>
      </c>
      <c r="B215" s="486" t="s">
        <v>1851</v>
      </c>
      <c r="C215" s="465">
        <v>6</v>
      </c>
      <c r="D215" s="289"/>
      <c r="E215" s="486" t="s">
        <v>1852</v>
      </c>
    </row>
    <row r="216" spans="1:5" x14ac:dyDescent="0.35">
      <c r="A216" s="283">
        <v>46233</v>
      </c>
      <c r="B216" s="486" t="s">
        <v>1778</v>
      </c>
      <c r="C216" s="243">
        <v>0.5</v>
      </c>
      <c r="D216" s="289"/>
      <c r="E216" s="511" t="s">
        <v>71</v>
      </c>
    </row>
    <row r="217" spans="1:5" x14ac:dyDescent="0.35">
      <c r="A217" s="283">
        <v>46233</v>
      </c>
      <c r="B217" s="486" t="s">
        <v>1853</v>
      </c>
      <c r="C217" s="465">
        <v>1</v>
      </c>
      <c r="D217" s="289"/>
      <c r="E217" s="474" t="s">
        <v>1854</v>
      </c>
    </row>
    <row r="218" spans="1:5" x14ac:dyDescent="0.35">
      <c r="A218" s="283">
        <v>46233</v>
      </c>
      <c r="B218" s="486" t="s">
        <v>1853</v>
      </c>
      <c r="C218" s="243">
        <v>1</v>
      </c>
      <c r="D218" s="289"/>
      <c r="E218" s="474" t="s">
        <v>1855</v>
      </c>
    </row>
    <row r="219" spans="1:5" x14ac:dyDescent="0.35">
      <c r="A219" s="283">
        <v>46233</v>
      </c>
      <c r="B219" s="529" t="s">
        <v>1842</v>
      </c>
      <c r="C219" s="243">
        <v>0.5</v>
      </c>
      <c r="D219" s="290"/>
      <c r="E219" s="474" t="s">
        <v>1843</v>
      </c>
    </row>
    <row r="220" spans="1:5" x14ac:dyDescent="0.35">
      <c r="A220" s="500"/>
      <c r="B220" s="497"/>
      <c r="C220" s="497"/>
      <c r="D220" s="497"/>
      <c r="E220" s="497"/>
    </row>
    <row r="221" spans="1:5" x14ac:dyDescent="0.35">
      <c r="A221" s="282">
        <v>46234</v>
      </c>
      <c r="B221" s="486" t="s">
        <v>1834</v>
      </c>
      <c r="C221" s="243">
        <v>0.5</v>
      </c>
      <c r="D221" s="288">
        <f>SUM(C221:C228)/24</f>
        <v>0.45833333333333331</v>
      </c>
      <c r="E221" s="474" t="s">
        <v>1835</v>
      </c>
    </row>
    <row r="222" spans="1:5" s="499" customFormat="1" x14ac:dyDescent="0.35">
      <c r="A222" s="282">
        <v>46234</v>
      </c>
      <c r="B222" s="528" t="s">
        <v>1837</v>
      </c>
      <c r="C222" s="465">
        <v>0.5</v>
      </c>
      <c r="D222" s="289"/>
      <c r="E222" s="474" t="s">
        <v>1838</v>
      </c>
    </row>
    <row r="223" spans="1:5" s="499" customFormat="1" x14ac:dyDescent="0.35">
      <c r="A223" s="282">
        <v>46234</v>
      </c>
      <c r="B223" s="486" t="s">
        <v>1850</v>
      </c>
      <c r="C223" s="465">
        <v>0.5</v>
      </c>
      <c r="D223" s="289"/>
      <c r="E223" s="474" t="s">
        <v>1839</v>
      </c>
    </row>
    <row r="224" spans="1:5" x14ac:dyDescent="0.35">
      <c r="A224" s="282">
        <v>46234</v>
      </c>
      <c r="B224" s="486" t="s">
        <v>1840</v>
      </c>
      <c r="C224" s="4">
        <v>3</v>
      </c>
      <c r="D224" s="289"/>
      <c r="E224" s="474" t="s">
        <v>1841</v>
      </c>
    </row>
    <row r="225" spans="1:5" x14ac:dyDescent="0.35">
      <c r="A225" s="282">
        <v>46234</v>
      </c>
      <c r="B225" s="529" t="s">
        <v>1842</v>
      </c>
      <c r="C225" s="458">
        <v>0.5</v>
      </c>
      <c r="D225" s="289"/>
      <c r="E225" s="474" t="s">
        <v>1843</v>
      </c>
    </row>
    <row r="226" spans="1:5" x14ac:dyDescent="0.35">
      <c r="A226" s="282">
        <v>46234</v>
      </c>
      <c r="B226" s="486" t="s">
        <v>1844</v>
      </c>
      <c r="C226" s="458">
        <v>0.5</v>
      </c>
      <c r="D226" s="289"/>
      <c r="E226" s="474" t="s">
        <v>1845</v>
      </c>
    </row>
    <row r="227" spans="1:5" x14ac:dyDescent="0.35">
      <c r="A227" s="282">
        <v>46234</v>
      </c>
      <c r="B227" s="486" t="s">
        <v>1846</v>
      </c>
      <c r="C227" s="4">
        <v>1</v>
      </c>
      <c r="D227" s="289"/>
      <c r="E227" s="474" t="s">
        <v>1847</v>
      </c>
    </row>
    <row r="228" spans="1:5" x14ac:dyDescent="0.35">
      <c r="A228" s="282">
        <v>46234</v>
      </c>
      <c r="B228" s="474" t="s">
        <v>1848</v>
      </c>
      <c r="C228" s="4">
        <v>4.5</v>
      </c>
      <c r="D228" s="290"/>
      <c r="E228" s="474" t="s">
        <v>1849</v>
      </c>
    </row>
    <row r="229" spans="1:5" ht="3" customHeight="1" x14ac:dyDescent="0.35">
      <c r="A229" s="503"/>
      <c r="B229" s="530"/>
      <c r="C229" s="530"/>
      <c r="D229" s="530"/>
      <c r="E229" s="531"/>
    </row>
    <row r="230" spans="1:5" x14ac:dyDescent="0.35">
      <c r="A230" s="218">
        <v>46235</v>
      </c>
      <c r="B230" s="521" t="s">
        <v>739</v>
      </c>
      <c r="C230" s="521"/>
      <c r="D230" s="521"/>
      <c r="E230" s="532"/>
    </row>
    <row r="231" spans="1:5" ht="3.65" customHeight="1" x14ac:dyDescent="0.35">
      <c r="A231" s="500"/>
      <c r="B231" s="497"/>
      <c r="C231" s="497"/>
      <c r="D231" s="497"/>
      <c r="E231" s="497"/>
    </row>
    <row r="232" spans="1:5" x14ac:dyDescent="0.35">
      <c r="A232" s="218">
        <v>46236</v>
      </c>
      <c r="B232" s="521" t="s">
        <v>740</v>
      </c>
      <c r="C232" s="521"/>
      <c r="D232" s="521"/>
      <c r="E232" s="532"/>
    </row>
    <row r="233" spans="1:5" ht="3.65" customHeight="1" x14ac:dyDescent="0.35">
      <c r="A233" s="500"/>
      <c r="B233" s="497"/>
      <c r="C233" s="497"/>
      <c r="D233" s="498"/>
      <c r="E233" s="497"/>
    </row>
    <row r="234" spans="1:5" ht="14.5" customHeight="1" x14ac:dyDescent="0.35">
      <c r="A234" s="156">
        <v>46237</v>
      </c>
      <c r="B234" s="486" t="s">
        <v>1834</v>
      </c>
      <c r="C234" s="243">
        <v>0.5</v>
      </c>
      <c r="D234" s="288">
        <f>SUM(C234:C243)/24</f>
        <v>0.44791666666666669</v>
      </c>
      <c r="E234" s="474" t="s">
        <v>1835</v>
      </c>
    </row>
    <row r="235" spans="1:5" s="499" customFormat="1" ht="14.5" customHeight="1" x14ac:dyDescent="0.35">
      <c r="A235" s="156">
        <v>46237</v>
      </c>
      <c r="B235" s="528" t="s">
        <v>1837</v>
      </c>
      <c r="C235" s="465">
        <v>0.5</v>
      </c>
      <c r="D235" s="289"/>
      <c r="E235" s="474" t="s">
        <v>1838</v>
      </c>
    </row>
    <row r="236" spans="1:5" s="499" customFormat="1" x14ac:dyDescent="0.35">
      <c r="A236" s="156">
        <v>46237</v>
      </c>
      <c r="B236" s="486" t="s">
        <v>1850</v>
      </c>
      <c r="C236" s="465">
        <v>0.5</v>
      </c>
      <c r="D236" s="289"/>
      <c r="E236" s="474" t="s">
        <v>1839</v>
      </c>
    </row>
    <row r="237" spans="1:5" ht="14.5" customHeight="1" x14ac:dyDescent="0.35">
      <c r="A237" s="156">
        <v>46237</v>
      </c>
      <c r="B237" s="483" t="s">
        <v>1907</v>
      </c>
      <c r="C237" s="25">
        <v>4.5</v>
      </c>
      <c r="D237" s="289"/>
      <c r="E237" s="483" t="s">
        <v>1849</v>
      </c>
    </row>
    <row r="238" spans="1:5" x14ac:dyDescent="0.35">
      <c r="A238" s="156">
        <v>46237</v>
      </c>
      <c r="B238" s="486" t="s">
        <v>1908</v>
      </c>
      <c r="C238" s="243">
        <v>0.5</v>
      </c>
      <c r="D238" s="289"/>
      <c r="E238" s="474" t="s">
        <v>1858</v>
      </c>
    </row>
    <row r="239" spans="1:5" x14ac:dyDescent="0.35">
      <c r="A239" s="156">
        <v>46237</v>
      </c>
      <c r="B239" s="486" t="s">
        <v>1909</v>
      </c>
      <c r="C239" s="243">
        <v>0.5</v>
      </c>
      <c r="D239" s="289"/>
      <c r="E239" s="474" t="s">
        <v>1858</v>
      </c>
    </row>
    <row r="240" spans="1:5" x14ac:dyDescent="0.35">
      <c r="A240" s="156">
        <v>46237</v>
      </c>
      <c r="B240" s="486" t="s">
        <v>1910</v>
      </c>
      <c r="C240" s="243">
        <v>0.5</v>
      </c>
      <c r="D240" s="289"/>
      <c r="E240" s="474" t="s">
        <v>1858</v>
      </c>
    </row>
    <row r="241" spans="1:5" x14ac:dyDescent="0.35">
      <c r="A241" s="156">
        <v>46237</v>
      </c>
      <c r="B241" s="486" t="s">
        <v>1857</v>
      </c>
      <c r="C241" s="243">
        <v>0.5</v>
      </c>
      <c r="D241" s="289"/>
      <c r="E241" s="474" t="s">
        <v>1858</v>
      </c>
    </row>
    <row r="242" spans="1:5" ht="14.5" customHeight="1" x14ac:dyDescent="0.35">
      <c r="A242" s="156">
        <v>46237</v>
      </c>
      <c r="B242" s="474" t="s">
        <v>1911</v>
      </c>
      <c r="C242" s="4">
        <v>2.25</v>
      </c>
      <c r="D242" s="289"/>
      <c r="E242" s="474" t="s">
        <v>1912</v>
      </c>
    </row>
    <row r="243" spans="1:5" ht="14.5" customHeight="1" x14ac:dyDescent="0.35">
      <c r="A243" s="282">
        <v>46237</v>
      </c>
      <c r="B243" s="529" t="s">
        <v>1842</v>
      </c>
      <c r="C243" s="458">
        <v>0.5</v>
      </c>
      <c r="D243" s="290"/>
      <c r="E243" s="474" t="s">
        <v>1843</v>
      </c>
    </row>
    <row r="244" spans="1:5" x14ac:dyDescent="0.35">
      <c r="A244" s="500"/>
      <c r="B244" s="497"/>
      <c r="C244" s="497"/>
      <c r="D244" s="497"/>
      <c r="E244" s="497"/>
    </row>
    <row r="245" spans="1:5" ht="14.5" customHeight="1" x14ac:dyDescent="0.35">
      <c r="A245" s="281">
        <v>46238</v>
      </c>
      <c r="B245" s="486" t="s">
        <v>1834</v>
      </c>
      <c r="C245" s="243">
        <v>0.5</v>
      </c>
      <c r="D245" s="534"/>
      <c r="E245" s="474" t="s">
        <v>1835</v>
      </c>
    </row>
    <row r="246" spans="1:5" s="499" customFormat="1" ht="14.5" customHeight="1" x14ac:dyDescent="0.35">
      <c r="A246" s="281">
        <v>46238</v>
      </c>
      <c r="B246" s="542" t="s">
        <v>1837</v>
      </c>
      <c r="C246" s="243">
        <v>0.5</v>
      </c>
      <c r="D246" s="486"/>
      <c r="E246" s="474" t="s">
        <v>1838</v>
      </c>
    </row>
    <row r="247" spans="1:5" s="499" customFormat="1" ht="14.5" customHeight="1" x14ac:dyDescent="0.35">
      <c r="A247" s="281">
        <v>46238</v>
      </c>
      <c r="B247" s="542" t="s">
        <v>1961</v>
      </c>
      <c r="C247" s="243">
        <v>1.5</v>
      </c>
      <c r="D247" s="486"/>
      <c r="E247" s="511" t="s">
        <v>71</v>
      </c>
    </row>
    <row r="248" spans="1:5" x14ac:dyDescent="0.35">
      <c r="A248" s="281">
        <v>46238</v>
      </c>
      <c r="B248" s="474" t="s">
        <v>1962</v>
      </c>
      <c r="C248" s="243">
        <v>2</v>
      </c>
      <c r="D248" s="534"/>
      <c r="E248" s="474" t="s">
        <v>1964</v>
      </c>
    </row>
    <row r="249" spans="1:5" s="499" customFormat="1" ht="14.15" customHeight="1" x14ac:dyDescent="0.35">
      <c r="A249" s="281">
        <v>46238</v>
      </c>
      <c r="B249" s="486" t="s">
        <v>1850</v>
      </c>
      <c r="C249" s="243">
        <v>0.5</v>
      </c>
      <c r="D249" s="486"/>
      <c r="E249" s="474" t="s">
        <v>1839</v>
      </c>
    </row>
    <row r="250" spans="1:5" x14ac:dyDescent="0.35">
      <c r="A250" s="278">
        <v>46238</v>
      </c>
      <c r="B250" s="483" t="s">
        <v>1962</v>
      </c>
      <c r="C250" s="465"/>
      <c r="D250" s="440"/>
      <c r="E250" s="483" t="s">
        <v>1963</v>
      </c>
    </row>
    <row r="251" spans="1:5" x14ac:dyDescent="0.35">
      <c r="A251" s="281">
        <v>46238</v>
      </c>
      <c r="B251" s="547" t="s">
        <v>1977</v>
      </c>
      <c r="C251" s="243">
        <v>1.5</v>
      </c>
      <c r="D251" s="534"/>
      <c r="E251" s="511" t="s">
        <v>1978</v>
      </c>
    </row>
    <row r="252" spans="1:5" x14ac:dyDescent="0.35">
      <c r="A252" s="281">
        <v>46238</v>
      </c>
      <c r="B252" s="474" t="s">
        <v>1979</v>
      </c>
      <c r="C252" s="243">
        <v>0.5</v>
      </c>
      <c r="D252" s="534"/>
      <c r="E252" s="474" t="s">
        <v>1980</v>
      </c>
    </row>
    <row r="253" spans="1:5" x14ac:dyDescent="0.35">
      <c r="A253" s="281"/>
      <c r="B253" s="474"/>
      <c r="C253" s="474"/>
      <c r="D253" s="534"/>
      <c r="E253" s="474"/>
    </row>
    <row r="254" spans="1:5" x14ac:dyDescent="0.35">
      <c r="A254" s="281"/>
      <c r="B254" s="474"/>
      <c r="C254" s="474"/>
      <c r="D254" s="534"/>
      <c r="E254" s="474"/>
    </row>
    <row r="255" spans="1:5" x14ac:dyDescent="0.35">
      <c r="A255" s="281"/>
      <c r="B255" s="474"/>
      <c r="C255" s="474"/>
      <c r="D255" s="534"/>
      <c r="E255" s="474"/>
    </row>
    <row r="256" spans="1:5" x14ac:dyDescent="0.35">
      <c r="A256" s="281"/>
      <c r="B256" s="474"/>
      <c r="C256" s="474"/>
      <c r="D256" s="534"/>
      <c r="E256" s="474"/>
    </row>
    <row r="257" spans="1:5" x14ac:dyDescent="0.35">
      <c r="A257" s="281"/>
      <c r="B257" s="474"/>
      <c r="C257" s="474"/>
      <c r="D257" s="534"/>
      <c r="E257" s="474"/>
    </row>
    <row r="258" spans="1:5" x14ac:dyDescent="0.35">
      <c r="A258" s="281"/>
      <c r="B258" s="474"/>
      <c r="C258" s="474"/>
      <c r="D258" s="534"/>
      <c r="E258" s="474"/>
    </row>
    <row r="259" spans="1:5" x14ac:dyDescent="0.35">
      <c r="A259" s="281"/>
      <c r="B259" s="474"/>
      <c r="C259" s="474"/>
      <c r="D259" s="534"/>
      <c r="E259" s="474"/>
    </row>
    <row r="260" spans="1:5" x14ac:dyDescent="0.35">
      <c r="A260" s="281"/>
      <c r="B260" s="474"/>
      <c r="C260" s="474"/>
      <c r="D260" s="534"/>
      <c r="E260" s="474"/>
    </row>
    <row r="261" spans="1:5" x14ac:dyDescent="0.35">
      <c r="A261" s="281"/>
      <c r="B261" s="474"/>
      <c r="C261" s="474"/>
      <c r="D261" s="534"/>
      <c r="E261" s="474"/>
    </row>
    <row r="262" spans="1:5" x14ac:dyDescent="0.35">
      <c r="A262" s="281"/>
      <c r="B262" s="474"/>
      <c r="C262" s="474"/>
      <c r="D262" s="534"/>
      <c r="E262" s="474"/>
    </row>
    <row r="263" spans="1:5" x14ac:dyDescent="0.35">
      <c r="A263" s="281"/>
      <c r="B263" s="474"/>
      <c r="C263" s="474"/>
      <c r="D263" s="534"/>
      <c r="E263" s="474"/>
    </row>
    <row r="264" spans="1:5" x14ac:dyDescent="0.35">
      <c r="A264" s="281"/>
      <c r="B264" s="474"/>
      <c r="C264" s="474"/>
      <c r="D264" s="534"/>
      <c r="E264" s="474"/>
    </row>
    <row r="265" spans="1:5" x14ac:dyDescent="0.35">
      <c r="A265" s="281"/>
      <c r="B265" s="474"/>
      <c r="C265" s="474"/>
      <c r="D265" s="534"/>
      <c r="E265" s="474"/>
    </row>
    <row r="266" spans="1:5" x14ac:dyDescent="0.35">
      <c r="A266" s="281"/>
      <c r="B266" s="474"/>
      <c r="C266" s="474"/>
      <c r="D266" s="534"/>
      <c r="E266" s="474"/>
    </row>
    <row r="267" spans="1:5" x14ac:dyDescent="0.35">
      <c r="A267" s="281"/>
      <c r="B267" s="474"/>
      <c r="C267" s="474"/>
      <c r="D267" s="534"/>
      <c r="E267" s="474"/>
    </row>
    <row r="268" spans="1:5" x14ac:dyDescent="0.35">
      <c r="A268" s="281"/>
      <c r="B268" s="474"/>
      <c r="C268" s="474"/>
      <c r="D268" s="534"/>
      <c r="E268" s="474"/>
    </row>
    <row r="269" spans="1:5" x14ac:dyDescent="0.35">
      <c r="A269" s="281"/>
      <c r="B269" s="474"/>
      <c r="C269" s="474"/>
      <c r="D269" s="534"/>
      <c r="E269" s="474"/>
    </row>
    <row r="270" spans="1:5" x14ac:dyDescent="0.35">
      <c r="A270" s="281"/>
      <c r="B270" s="474"/>
      <c r="C270" s="474"/>
      <c r="D270" s="534"/>
      <c r="E270" s="474"/>
    </row>
    <row r="271" spans="1:5" x14ac:dyDescent="0.35">
      <c r="A271" s="281"/>
      <c r="B271" s="474"/>
      <c r="C271" s="474"/>
      <c r="D271" s="534"/>
      <c r="E271" s="474"/>
    </row>
    <row r="272" spans="1:5" x14ac:dyDescent="0.35">
      <c r="A272" s="281"/>
      <c r="B272" s="474"/>
      <c r="C272" s="474"/>
      <c r="D272" s="534"/>
      <c r="E272" s="474"/>
    </row>
    <row r="273" spans="1:5" x14ac:dyDescent="0.35">
      <c r="A273" s="281"/>
      <c r="B273" s="474"/>
      <c r="C273" s="474"/>
      <c r="D273" s="534"/>
      <c r="E273" s="474"/>
    </row>
    <row r="274" spans="1:5" x14ac:dyDescent="0.35">
      <c r="A274" s="281"/>
      <c r="B274" s="474"/>
      <c r="C274" s="474"/>
      <c r="D274" s="534"/>
      <c r="E274" s="474"/>
    </row>
    <row r="275" spans="1:5" x14ac:dyDescent="0.35">
      <c r="A275" s="281"/>
      <c r="B275" s="474"/>
      <c r="C275" s="474"/>
      <c r="D275" s="534"/>
      <c r="E275" s="474"/>
    </row>
    <row r="276" spans="1:5" x14ac:dyDescent="0.35">
      <c r="A276" s="281"/>
      <c r="B276" s="474"/>
      <c r="C276" s="474"/>
      <c r="D276" s="534"/>
      <c r="E276" s="474"/>
    </row>
    <row r="277" spans="1:5" x14ac:dyDescent="0.35">
      <c r="A277" s="281"/>
      <c r="B277" s="474"/>
      <c r="C277" s="474"/>
      <c r="D277" s="534"/>
      <c r="E277" s="474"/>
    </row>
    <row r="278" spans="1:5" x14ac:dyDescent="0.35">
      <c r="A278" s="281"/>
      <c r="B278" s="474"/>
      <c r="C278" s="474"/>
      <c r="D278" s="534"/>
      <c r="E278" s="474"/>
    </row>
    <row r="279" spans="1:5" x14ac:dyDescent="0.35">
      <c r="A279" s="281"/>
      <c r="B279" s="474"/>
      <c r="C279" s="474"/>
      <c r="D279" s="534"/>
      <c r="E279" s="474"/>
    </row>
    <row r="280" spans="1:5" x14ac:dyDescent="0.35">
      <c r="A280" s="281"/>
      <c r="B280" s="474"/>
      <c r="C280" s="474"/>
      <c r="D280" s="534"/>
      <c r="E280" s="474"/>
    </row>
    <row r="281" spans="1:5" x14ac:dyDescent="0.35">
      <c r="A281" s="281"/>
      <c r="B281" s="474"/>
      <c r="C281" s="474"/>
      <c r="D281" s="534"/>
      <c r="E281" s="474"/>
    </row>
    <row r="282" spans="1:5" x14ac:dyDescent="0.35">
      <c r="A282" s="281"/>
      <c r="B282" s="474"/>
      <c r="C282" s="474"/>
      <c r="D282" s="534"/>
      <c r="E282" s="474"/>
    </row>
    <row r="283" spans="1:5" x14ac:dyDescent="0.35">
      <c r="A283" s="281"/>
      <c r="B283" s="474"/>
      <c r="C283" s="474"/>
      <c r="D283" s="534"/>
      <c r="E283" s="474"/>
    </row>
    <row r="284" spans="1:5" x14ac:dyDescent="0.35">
      <c r="A284" s="281"/>
      <c r="B284" s="474"/>
      <c r="C284" s="474"/>
      <c r="D284" s="534"/>
      <c r="E284" s="474"/>
    </row>
    <row r="285" spans="1:5" x14ac:dyDescent="0.35">
      <c r="A285" s="281"/>
      <c r="B285" s="474"/>
      <c r="C285" s="474"/>
      <c r="D285" s="534"/>
      <c r="E285" s="474"/>
    </row>
    <row r="286" spans="1:5" x14ac:dyDescent="0.35">
      <c r="A286" s="281"/>
      <c r="B286" s="474"/>
      <c r="C286" s="474"/>
      <c r="D286" s="534"/>
      <c r="E286" s="474"/>
    </row>
    <row r="287" spans="1:5" x14ac:dyDescent="0.35">
      <c r="A287" s="281"/>
      <c r="B287" s="474"/>
      <c r="C287" s="474"/>
      <c r="D287" s="534"/>
      <c r="E287" s="474"/>
    </row>
    <row r="288" spans="1:5" x14ac:dyDescent="0.35">
      <c r="A288" s="281"/>
      <c r="B288" s="474"/>
      <c r="C288" s="474"/>
      <c r="D288" s="534"/>
      <c r="E288" s="474"/>
    </row>
    <row r="289" spans="1:5" x14ac:dyDescent="0.35">
      <c r="A289" s="281"/>
      <c r="B289" s="474"/>
      <c r="C289" s="474"/>
      <c r="D289" s="534"/>
      <c r="E289" s="474"/>
    </row>
    <row r="290" spans="1:5" x14ac:dyDescent="0.35">
      <c r="A290" s="281"/>
      <c r="B290" s="474"/>
      <c r="C290" s="474"/>
      <c r="D290" s="534"/>
      <c r="E290" s="474"/>
    </row>
    <row r="291" spans="1:5" x14ac:dyDescent="0.35">
      <c r="A291" s="281"/>
      <c r="B291" s="474"/>
      <c r="C291" s="474"/>
      <c r="D291" s="534"/>
      <c r="E291" s="474"/>
    </row>
    <row r="292" spans="1:5" x14ac:dyDescent="0.35">
      <c r="A292" s="281"/>
      <c r="B292" s="474"/>
      <c r="C292" s="474"/>
      <c r="D292" s="534"/>
      <c r="E292" s="474"/>
    </row>
    <row r="293" spans="1:5" x14ac:dyDescent="0.35">
      <c r="A293" s="281"/>
      <c r="B293" s="474"/>
      <c r="C293" s="474"/>
      <c r="D293" s="534"/>
      <c r="E293" s="474"/>
    </row>
    <row r="294" spans="1:5" x14ac:dyDescent="0.35">
      <c r="A294" s="281"/>
      <c r="B294" s="474"/>
      <c r="C294" s="474"/>
      <c r="D294" s="534"/>
      <c r="E294" s="474"/>
    </row>
    <row r="295" spans="1:5" x14ac:dyDescent="0.35">
      <c r="A295" s="281"/>
      <c r="B295" s="474"/>
      <c r="C295" s="474"/>
      <c r="D295" s="534"/>
      <c r="E295" s="474"/>
    </row>
    <row r="296" spans="1:5" x14ac:dyDescent="0.35">
      <c r="A296" s="281"/>
      <c r="B296" s="474"/>
      <c r="C296" s="474"/>
      <c r="D296" s="534"/>
      <c r="E296" s="474"/>
    </row>
    <row r="297" spans="1:5" x14ac:dyDescent="0.35">
      <c r="A297" s="281"/>
      <c r="B297" s="474"/>
      <c r="C297" s="474"/>
      <c r="D297" s="534"/>
      <c r="E297" s="474"/>
    </row>
    <row r="298" spans="1:5" x14ac:dyDescent="0.35">
      <c r="A298" s="281"/>
      <c r="B298" s="474"/>
      <c r="C298" s="474"/>
      <c r="D298" s="534"/>
      <c r="E298" s="474"/>
    </row>
    <row r="299" spans="1:5" x14ac:dyDescent="0.35">
      <c r="A299" s="281"/>
      <c r="B299" s="474"/>
      <c r="C299" s="474"/>
      <c r="D299" s="534"/>
      <c r="E299" s="474"/>
    </row>
    <row r="300" spans="1:5" x14ac:dyDescent="0.35">
      <c r="A300" s="281"/>
      <c r="B300" s="474"/>
      <c r="C300" s="474"/>
      <c r="D300" s="534"/>
      <c r="E300" s="474"/>
    </row>
    <row r="301" spans="1:5" x14ac:dyDescent="0.35">
      <c r="A301" s="281"/>
      <c r="B301" s="474"/>
      <c r="C301" s="474"/>
      <c r="D301" s="534"/>
      <c r="E301" s="474"/>
    </row>
    <row r="302" spans="1:5" x14ac:dyDescent="0.35">
      <c r="A302" s="281"/>
      <c r="B302" s="474"/>
      <c r="C302" s="474"/>
      <c r="D302" s="534"/>
      <c r="E302" s="474"/>
    </row>
    <row r="303" spans="1:5" x14ac:dyDescent="0.35">
      <c r="A303" s="281"/>
      <c r="B303" s="474"/>
      <c r="C303" s="474"/>
      <c r="D303" s="534"/>
      <c r="E303" s="474"/>
    </row>
    <row r="304" spans="1:5" x14ac:dyDescent="0.35">
      <c r="A304" s="281"/>
      <c r="B304" s="474"/>
      <c r="C304" s="474"/>
      <c r="D304" s="534"/>
      <c r="E304" s="474"/>
    </row>
    <row r="305" spans="1:5" x14ac:dyDescent="0.35">
      <c r="A305" s="281"/>
      <c r="B305" s="474"/>
      <c r="C305" s="474"/>
      <c r="D305" s="534"/>
      <c r="E305" s="474"/>
    </row>
    <row r="306" spans="1:5" x14ac:dyDescent="0.35">
      <c r="A306" s="281"/>
      <c r="B306" s="474"/>
      <c r="C306" s="474"/>
      <c r="D306" s="534"/>
      <c r="E306" s="474"/>
    </row>
    <row r="307" spans="1:5" x14ac:dyDescent="0.35">
      <c r="A307" s="281"/>
      <c r="B307" s="474"/>
      <c r="C307" s="474"/>
      <c r="D307" s="534"/>
      <c r="E307" s="474"/>
    </row>
    <row r="308" spans="1:5" x14ac:dyDescent="0.35">
      <c r="A308" s="281"/>
      <c r="B308" s="474"/>
      <c r="C308" s="474"/>
      <c r="D308" s="534"/>
      <c r="E308" s="474"/>
    </row>
    <row r="309" spans="1:5" x14ac:dyDescent="0.35">
      <c r="A309" s="281"/>
      <c r="B309" s="474"/>
      <c r="C309" s="474"/>
      <c r="D309" s="534"/>
      <c r="E309" s="474"/>
    </row>
    <row r="310" spans="1:5" x14ac:dyDescent="0.35">
      <c r="A310" s="281"/>
      <c r="B310" s="474"/>
      <c r="C310" s="474"/>
      <c r="D310" s="534"/>
      <c r="E310" s="474"/>
    </row>
    <row r="311" spans="1:5" x14ac:dyDescent="0.35">
      <c r="A311" s="281"/>
      <c r="B311" s="474"/>
      <c r="C311" s="474"/>
      <c r="D311" s="534"/>
      <c r="E311" s="474"/>
    </row>
    <row r="312" spans="1:5" x14ac:dyDescent="0.35">
      <c r="A312" s="281"/>
      <c r="B312" s="474"/>
      <c r="C312" s="474"/>
      <c r="D312" s="534"/>
      <c r="E312" s="474"/>
    </row>
    <row r="313" spans="1:5" x14ac:dyDescent="0.35">
      <c r="A313" s="281"/>
      <c r="B313" s="474"/>
      <c r="C313" s="474"/>
      <c r="D313" s="534"/>
      <c r="E313" s="474"/>
    </row>
    <row r="314" spans="1:5" x14ac:dyDescent="0.35">
      <c r="A314" s="281"/>
      <c r="B314" s="474"/>
      <c r="C314" s="474"/>
      <c r="D314" s="534"/>
      <c r="E314" s="474"/>
    </row>
    <row r="315" spans="1:5" x14ac:dyDescent="0.35">
      <c r="A315" s="281"/>
      <c r="B315" s="474"/>
      <c r="C315" s="474"/>
      <c r="D315" s="534"/>
      <c r="E315" s="474"/>
    </row>
    <row r="316" spans="1:5" x14ac:dyDescent="0.35">
      <c r="A316" s="281"/>
      <c r="B316" s="474"/>
      <c r="C316" s="474"/>
      <c r="D316" s="534"/>
      <c r="E316" s="474"/>
    </row>
    <row r="317" spans="1:5" x14ac:dyDescent="0.35">
      <c r="A317" s="281"/>
      <c r="B317" s="474"/>
      <c r="C317" s="474"/>
      <c r="D317" s="534"/>
      <c r="E317" s="474"/>
    </row>
    <row r="318" spans="1:5" x14ac:dyDescent="0.35">
      <c r="A318" s="281"/>
      <c r="B318" s="474"/>
      <c r="C318" s="474"/>
      <c r="D318" s="534"/>
      <c r="E318" s="474"/>
    </row>
    <row r="319" spans="1:5" x14ac:dyDescent="0.35">
      <c r="A319" s="281"/>
      <c r="B319" s="474"/>
      <c r="C319" s="474"/>
      <c r="D319" s="534"/>
      <c r="E319" s="474"/>
    </row>
    <row r="320" spans="1:5" x14ac:dyDescent="0.35">
      <c r="A320" s="281"/>
      <c r="B320" s="474"/>
      <c r="C320" s="474"/>
      <c r="D320" s="534"/>
      <c r="E320" s="474"/>
    </row>
    <row r="321" spans="1:5" x14ac:dyDescent="0.35">
      <c r="A321" s="281"/>
      <c r="B321" s="474"/>
      <c r="C321" s="474"/>
      <c r="D321" s="534"/>
      <c r="E321" s="474"/>
    </row>
    <row r="322" spans="1:5" x14ac:dyDescent="0.35">
      <c r="A322" s="281"/>
      <c r="B322" s="474"/>
      <c r="C322" s="474"/>
      <c r="D322" s="534"/>
      <c r="E322" s="474"/>
    </row>
    <row r="323" spans="1:5" x14ac:dyDescent="0.35">
      <c r="A323" s="281"/>
      <c r="B323" s="474"/>
      <c r="C323" s="474"/>
      <c r="D323" s="534"/>
      <c r="E323" s="474"/>
    </row>
    <row r="324" spans="1:5" x14ac:dyDescent="0.35">
      <c r="A324" s="281"/>
      <c r="B324" s="474"/>
      <c r="C324" s="474"/>
      <c r="D324" s="534"/>
      <c r="E324" s="474"/>
    </row>
    <row r="325" spans="1:5" x14ac:dyDescent="0.35">
      <c r="A325" s="281"/>
      <c r="B325" s="474"/>
      <c r="C325" s="474"/>
      <c r="D325" s="534"/>
      <c r="E325" s="474"/>
    </row>
    <row r="326" spans="1:5" x14ac:dyDescent="0.35">
      <c r="A326" s="281"/>
      <c r="B326" s="474"/>
      <c r="C326" s="474"/>
      <c r="D326" s="534"/>
      <c r="E326" s="474"/>
    </row>
    <row r="327" spans="1:5" x14ac:dyDescent="0.35">
      <c r="A327" s="281"/>
      <c r="B327" s="474"/>
      <c r="C327" s="474"/>
      <c r="D327" s="534"/>
      <c r="E327" s="474"/>
    </row>
    <row r="328" spans="1:5" x14ac:dyDescent="0.35">
      <c r="A328" s="281"/>
      <c r="B328" s="474"/>
      <c r="C328" s="474"/>
      <c r="D328" s="534"/>
      <c r="E328" s="474"/>
    </row>
    <row r="329" spans="1:5" x14ac:dyDescent="0.35">
      <c r="A329" s="281"/>
      <c r="B329" s="474"/>
      <c r="C329" s="474"/>
      <c r="D329" s="534"/>
      <c r="E329" s="474"/>
    </row>
    <row r="330" spans="1:5" x14ac:dyDescent="0.35">
      <c r="A330" s="286"/>
    </row>
  </sheetData>
  <mergeCells count="24">
    <mergeCell ref="D221:D228"/>
    <mergeCell ref="D234:D243"/>
    <mergeCell ref="D205:D210"/>
    <mergeCell ref="D212:D219"/>
    <mergeCell ref="D196:D203"/>
    <mergeCell ref="D188:D194"/>
    <mergeCell ref="D160:D167"/>
    <mergeCell ref="D169:D177"/>
    <mergeCell ref="D179:D186"/>
    <mergeCell ref="D61:D68"/>
    <mergeCell ref="D70:D79"/>
    <mergeCell ref="D8:D18"/>
    <mergeCell ref="D20:D28"/>
    <mergeCell ref="D30:D37"/>
    <mergeCell ref="D43:D49"/>
    <mergeCell ref="D92:D97"/>
    <mergeCell ref="D51:D59"/>
    <mergeCell ref="D81:D86"/>
    <mergeCell ref="D115:D123"/>
    <mergeCell ref="D99:D106"/>
    <mergeCell ref="D108:D113"/>
    <mergeCell ref="D143:D150"/>
    <mergeCell ref="D125:D137"/>
    <mergeCell ref="D152:D158"/>
  </mergeCells>
  <hyperlinks>
    <hyperlink ref="E35" r:id="rId1" xr:uid="{32239B40-2E42-4C30-99CF-FBBBB699EFE4}"/>
    <hyperlink ref="E34" r:id="rId2" xr:uid="{13045CFF-17FD-492F-9028-9B4D6F415FFD}"/>
    <hyperlink ref="E30" r:id="rId3" xr:uid="{1ADA442A-5F3E-4C06-8475-D717635920E9}"/>
    <hyperlink ref="E31" r:id="rId4" xr:uid="{3DE2F92F-5208-4769-A59D-288032AA184E}"/>
    <hyperlink ref="E37" r:id="rId5" xr:uid="{A2FDBE7F-E382-4BB5-A007-C99985EC2DD8}"/>
    <hyperlink ref="E43" r:id="rId6" xr:uid="{0A78C988-92F3-4BFA-A44B-3A17E5328813}"/>
    <hyperlink ref="E44" r:id="rId7" xr:uid="{7C3C3C33-8249-4127-8A97-9C0EBE1B5013}"/>
    <hyperlink ref="E46" r:id="rId8" xr:uid="{D251B91A-87A4-4B2B-91A2-6FFFCB77E979}"/>
    <hyperlink ref="E51" r:id="rId9" xr:uid="{65D13465-DD65-465E-8E35-64BAB219FD57}"/>
    <hyperlink ref="E52" r:id="rId10" xr:uid="{14D7CE50-12A4-40CD-9959-ECF8F1EFEF25}"/>
    <hyperlink ref="E55" r:id="rId11" display="Meeting" xr:uid="{B39E8391-C9FE-46F9-8150-1A7FCB44E591}"/>
    <hyperlink ref="E57" r:id="rId12" display="Demo" xr:uid="{9A6A3F55-D520-47EB-9A17-6D89F92190AE}"/>
    <hyperlink ref="E54" r:id="rId13" xr:uid="{8D966BF8-CCF5-45C4-A82C-FDAE9C446992}"/>
    <hyperlink ref="E20" r:id="rId14" xr:uid="{DEFFF784-8912-4DC5-9953-229147891C2C}"/>
    <hyperlink ref="E21" r:id="rId15" xr:uid="{DF260FE8-1A22-428E-BD2A-E1265087043A}"/>
    <hyperlink ref="E22" r:id="rId16" xr:uid="{4B3CE99F-DB5D-472F-93C4-B419809E452C}"/>
    <hyperlink ref="E8" r:id="rId17" xr:uid="{D6CC2B11-7D27-407C-8B24-A03C0262256B}"/>
    <hyperlink ref="E9" r:id="rId18" xr:uid="{E4D7F26B-5BB1-4B55-A178-79AE85B172CA}"/>
    <hyperlink ref="E10" r:id="rId19" xr:uid="{C76DE6AC-518B-4DD0-93B2-68CE4F0BB367}"/>
    <hyperlink ref="E61" r:id="rId20" xr:uid="{46679B91-6129-40B7-9A8A-87AB7B390B78}"/>
    <hyperlink ref="E62" r:id="rId21" xr:uid="{0DFC9518-8A05-4026-9368-A24A1B2B3BEA}"/>
    <hyperlink ref="E66" r:id="rId22" display="Meeting" xr:uid="{F21F8DD4-07B7-414A-AF42-F58267CA58DC}"/>
    <hyperlink ref="E64" r:id="rId23" xr:uid="{78F85A00-1775-4ADF-9ADB-CE9C7BF6D560}"/>
    <hyperlink ref="E70" r:id="rId24" xr:uid="{180A1F41-F0D8-4C9C-96D4-C7B062CDEC94}"/>
    <hyperlink ref="E71" r:id="rId25" xr:uid="{AE5C7AA8-42B3-47D1-B510-D166E5557D6D}"/>
    <hyperlink ref="E75" r:id="rId26" display="Meeting" xr:uid="{01745DDD-E420-4A0E-B59D-2DEEA965555C}"/>
    <hyperlink ref="E73" r:id="rId27" xr:uid="{7B3D30A6-B3EC-4E5D-B432-8B761D9C78A0}"/>
    <hyperlink ref="E63" r:id="rId28" xr:uid="{D822947B-CF5F-4E53-B7DB-1AB2BB20684E}"/>
    <hyperlink ref="E76" r:id="rId29" xr:uid="{C027F2BC-1C5D-4DAF-BD74-857E2F95E05E}"/>
    <hyperlink ref="E77" r:id="rId30" xr:uid="{65EF8E6C-DADA-4982-8611-A1582B897AB5}"/>
    <hyperlink ref="E78" r:id="rId31" xr:uid="{2EC54571-16BE-4693-A50B-75954A2F4380}"/>
    <hyperlink ref="E74" r:id="rId32" xr:uid="{9B530B96-F125-4F9D-AA25-30D11FFF8476}"/>
    <hyperlink ref="E81" r:id="rId33" xr:uid="{C75356AD-AD67-4FDF-9109-92F2308E8F9D}"/>
    <hyperlink ref="E82" r:id="rId34" xr:uid="{D023AE3E-18B1-4932-99EB-C3A23AA52C53}"/>
    <hyperlink ref="E83" r:id="rId35" xr:uid="{082666C4-E29A-4F40-B46A-1F539027C8A5}"/>
    <hyperlink ref="E84" r:id="rId36" display="Meeting" xr:uid="{3057009F-9943-413A-989C-8D28AD7FD459}"/>
    <hyperlink ref="E92" r:id="rId37" xr:uid="{3A8ED39B-EB17-4F4F-983C-7D996D5703A1}"/>
    <hyperlink ref="E93" r:id="rId38" xr:uid="{E8657794-EFFA-4F7B-BBDA-BF36E45504C1}"/>
    <hyperlink ref="E95" r:id="rId39" xr:uid="{E402C6CA-A7F2-4C62-8AD8-6FA37DDACC5C}"/>
    <hyperlink ref="E96" r:id="rId40" xr:uid="{D67F62B1-1141-4CCB-873D-7FDC11188008}"/>
    <hyperlink ref="E99" r:id="rId41" xr:uid="{F4AD94D8-7748-46C3-BF3E-C5766BCCAC3D}"/>
    <hyperlink ref="E100" r:id="rId42" xr:uid="{718EE611-44B1-40D0-BCCA-EC54D90B6EB7}"/>
    <hyperlink ref="E102" r:id="rId43" xr:uid="{E24E6D55-3E8D-4E51-BF8A-1233A9C2CDAE}"/>
    <hyperlink ref="E104" r:id="rId44" display="Meeting" xr:uid="{792C28C3-5FDA-49BE-ACAF-171B5003218E}"/>
    <hyperlink ref="E108" r:id="rId45" xr:uid="{FFDB6EF4-4BB6-4645-A3F1-5DB877B6C85D}"/>
    <hyperlink ref="E109" r:id="rId46" xr:uid="{24A81CDE-5FD8-49FB-9A14-D027521BB518}"/>
    <hyperlink ref="E111" r:id="rId47" xr:uid="{12CDD0C7-69AB-49AB-850B-C73E197675BC}"/>
    <hyperlink ref="E113" r:id="rId48" display="Meeting" xr:uid="{B4B4D818-19CE-4599-AD04-CACAD18CBD5C}"/>
    <hyperlink ref="E115" r:id="rId49" xr:uid="{B38B469F-7E86-4619-9001-17F3C8308358}"/>
    <hyperlink ref="E116" r:id="rId50" xr:uid="{975C6648-C03C-4B65-8292-C3626FD722D3}"/>
    <hyperlink ref="E119" r:id="rId51" xr:uid="{BAB50041-B4C8-4562-A775-E7A39F08EE9E}"/>
    <hyperlink ref="E122" r:id="rId52" xr:uid="{7B6C9563-ECCD-4BFA-8DF9-3FED25F0C1AD}"/>
    <hyperlink ref="E125" r:id="rId53" xr:uid="{96E2079F-6118-4150-A7CE-7BFF11753057}"/>
    <hyperlink ref="E126" r:id="rId54" xr:uid="{7E1B83B4-2FB0-4ABE-8AB3-454BBD353B51}"/>
    <hyperlink ref="E127" r:id="rId55" xr:uid="{3D0D73F9-A73D-4507-8043-A1173019989E}"/>
    <hyperlink ref="E129" r:id="rId56" xr:uid="{9AB76A14-7414-41F0-915C-03982E499DD3}"/>
    <hyperlink ref="E121" r:id="rId57" display="Meeting" xr:uid="{D81A1BCD-4CA8-40BE-8A32-2F06148086A1}"/>
    <hyperlink ref="E130" r:id="rId58" display="Meeting" xr:uid="{909F1022-9F53-4674-9CD7-FE50AB052DA9}"/>
    <hyperlink ref="E123" r:id="rId59" xr:uid="{2B113936-5846-4288-AEA9-6BE0B4D4968E}"/>
    <hyperlink ref="E137" r:id="rId60" display="Meeting with Andy/Alejandro" xr:uid="{04B39F36-2B5B-4883-B57D-1601E0E5F696}"/>
    <hyperlink ref="E143" r:id="rId61" xr:uid="{63057AA6-FC3C-4D78-80EE-BD66C5AF35BB}"/>
    <hyperlink ref="E144" r:id="rId62" xr:uid="{0D3236EB-6A60-49B3-9D12-015B6CCCE426}"/>
    <hyperlink ref="E145" r:id="rId63" xr:uid="{FC2C0B34-CBFA-40AA-BF62-A8BF1A1A479F}"/>
    <hyperlink ref="E150" r:id="rId64" display="Meeting" xr:uid="{6949E091-1F7D-41A9-9A74-171F20BC9BFD}"/>
    <hyperlink ref="E152" r:id="rId65" xr:uid="{C6055C58-BBF2-4731-900E-B1BE9DCFCDA3}"/>
    <hyperlink ref="E156" r:id="rId66" xr:uid="{162C3348-22B7-40D2-9A8E-83059B04B8AC}"/>
    <hyperlink ref="E153" r:id="rId67" xr:uid="{F9E70979-C235-4504-9109-CCC9779BF8C2}"/>
    <hyperlink ref="E154" r:id="rId68" xr:uid="{92A3ED81-74CE-4B9C-97EF-CC72E318759F}"/>
    <hyperlink ref="E157" r:id="rId69" display="Meeting" xr:uid="{C5D48755-273B-4B09-8B5D-64D74A0D71F0}"/>
    <hyperlink ref="E160" r:id="rId70" xr:uid="{87F31A6F-85F4-4B73-A41B-690F84AA2391}"/>
    <hyperlink ref="E161" r:id="rId71" xr:uid="{4081F565-F760-4C73-8E09-BD4E82E70F1E}"/>
    <hyperlink ref="E162" r:id="rId72" xr:uid="{2E95549B-57ED-4F16-9806-4B8C43BC0C41}"/>
    <hyperlink ref="E163" r:id="rId73" xr:uid="{41720C65-102C-473B-B88E-C25D815A4457}"/>
    <hyperlink ref="E164" r:id="rId74" display="Meeting" xr:uid="{D10668BA-74B1-4CE9-AE88-19F30886B0E5}"/>
    <hyperlink ref="E169" r:id="rId75" xr:uid="{6BA0CB90-5B57-4A61-B68F-84F157A94E96}"/>
    <hyperlink ref="E170" r:id="rId76" xr:uid="{862B3225-A2B5-4ECC-A29E-F863BE35DAC4}"/>
    <hyperlink ref="E171" r:id="rId77" xr:uid="{61300345-7C4A-43B7-ABF0-ED2F9BBE35F5}"/>
    <hyperlink ref="E172" r:id="rId78" xr:uid="{09CBE375-94D5-4539-84FC-D481A7840D9B}"/>
    <hyperlink ref="E173" r:id="rId79" xr:uid="{3EE8193A-FB7D-4C58-9955-5064E3A857E4}"/>
    <hyperlink ref="E176" r:id="rId80" display="Meeting" xr:uid="{FAA9B258-F871-49B0-8414-34F0E71BEEF8}"/>
    <hyperlink ref="E179" r:id="rId81" xr:uid="{4E3A4B06-214D-4B7C-BF96-00F88B83E541}"/>
    <hyperlink ref="E180" r:id="rId82" xr:uid="{9F77518B-74A2-4F90-9D38-2D90651B62DA}"/>
    <hyperlink ref="E181" r:id="rId83" xr:uid="{B056D733-6D06-4424-BD70-7E0F4EF4D717}"/>
    <hyperlink ref="E186" r:id="rId84" display="Meeting" xr:uid="{AF185A0A-DE45-4959-AA85-B36FDF35554D}"/>
    <hyperlink ref="E188" r:id="rId85" xr:uid="{B724745A-498F-419D-91D0-F3C698148E6F}"/>
    <hyperlink ref="E189" r:id="rId86" xr:uid="{CF4DD047-FFCD-4727-9D6D-F225C0C3BF24}"/>
    <hyperlink ref="E190" r:id="rId87" xr:uid="{2D718006-EF99-46C6-B445-363D0D047209}"/>
    <hyperlink ref="E193" r:id="rId88" display="Meeting" xr:uid="{846A33AF-CACE-46F8-B4C5-66CD0A4CEA2B}"/>
    <hyperlink ref="E194" r:id="rId89" xr:uid="{93742C88-C9E1-4B38-B5D1-82B450F7795D}"/>
    <hyperlink ref="E196" r:id="rId90" xr:uid="{FDF57777-DA35-4548-A16B-092DFA4DCF7B}"/>
    <hyperlink ref="E197" r:id="rId91" xr:uid="{A1E8788B-8535-4BC2-80BB-CDE3F7351E72}"/>
    <hyperlink ref="E201" r:id="rId92" display="Meeting" xr:uid="{77DE7B01-C728-4B8D-BA82-9401D676DCEB}"/>
    <hyperlink ref="E200" r:id="rId93" xr:uid="{0BE27739-21AA-4DFE-9692-D000C06F9100}"/>
    <hyperlink ref="E203" r:id="rId94" xr:uid="{EB05621A-35CA-4BD1-88D6-7C455A6FE3CA}"/>
    <hyperlink ref="E205" r:id="rId95" xr:uid="{2729EAA1-363A-460E-B9EC-8698F451AD0B}"/>
    <hyperlink ref="E206" r:id="rId96" xr:uid="{D82A40F7-FFB4-40FB-998E-8CEAFFA582DB}"/>
    <hyperlink ref="E207" r:id="rId97" xr:uid="{87C07C74-01C7-471C-8448-EECC6D32062B}"/>
    <hyperlink ref="E208" r:id="rId98" display="Meeting" xr:uid="{53787754-E8B4-404E-AAB9-632B138900C4}"/>
    <hyperlink ref="E216" r:id="rId99" xr:uid="{0A1D8529-3317-4CA0-9B1C-B994B65C4860}"/>
    <hyperlink ref="E247" r:id="rId100" xr:uid="{B17B17D0-EB19-4B40-900F-7DEBC779E9AA}"/>
    <hyperlink ref="E251" r:id="rId101" xr:uid="{D096112C-227E-43DC-B3EB-8710563BDCC4}"/>
  </hyperlinks>
  <pageMargins left="0.7" right="0.7" top="0.75" bottom="0.75" header="0.3" footer="0.3"/>
  <legacyDrawing r:id="rId10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7B709-1BC1-43B2-863A-14B244F5BC06}">
  <dimension ref="A1:E136"/>
  <sheetViews>
    <sheetView topLeftCell="A108" workbookViewId="0">
      <selection activeCell="B119" sqref="B119"/>
    </sheetView>
  </sheetViews>
  <sheetFormatPr defaultRowHeight="14.5" x14ac:dyDescent="0.35"/>
  <cols>
    <col min="1" max="1" width="11.54296875" style="94" customWidth="1"/>
    <col min="2" max="2" width="46.453125" customWidth="1"/>
    <col min="3" max="3" width="11.81640625" customWidth="1"/>
    <col min="4" max="4" width="16.26953125" customWidth="1"/>
    <col min="5" max="5" width="60.1796875" customWidth="1"/>
  </cols>
  <sheetData>
    <row r="1" spans="1:5" ht="29" x14ac:dyDescent="0.35">
      <c r="A1" s="475" t="s">
        <v>0</v>
      </c>
      <c r="B1" s="1" t="s">
        <v>1</v>
      </c>
      <c r="C1" s="2" t="s">
        <v>2</v>
      </c>
      <c r="D1" s="2" t="s">
        <v>3</v>
      </c>
      <c r="E1" s="1" t="s">
        <v>4</v>
      </c>
    </row>
    <row r="2" spans="1:5" x14ac:dyDescent="0.35">
      <c r="A2" s="476" t="s">
        <v>5</v>
      </c>
      <c r="B2" s="10"/>
      <c r="C2" s="11"/>
      <c r="D2" s="11"/>
      <c r="E2" s="10"/>
    </row>
    <row r="3" spans="1:5" x14ac:dyDescent="0.35">
      <c r="A3" s="477">
        <v>46204</v>
      </c>
      <c r="B3" s="6" t="s">
        <v>6</v>
      </c>
      <c r="C3" s="7">
        <v>2</v>
      </c>
      <c r="D3" s="298">
        <v>9</v>
      </c>
      <c r="E3" s="6"/>
    </row>
    <row r="4" spans="1:5" x14ac:dyDescent="0.35">
      <c r="A4" s="477">
        <v>46204</v>
      </c>
      <c r="B4" s="6" t="s">
        <v>7</v>
      </c>
      <c r="C4" s="7">
        <v>6</v>
      </c>
      <c r="D4" s="299"/>
      <c r="E4" s="6"/>
    </row>
    <row r="5" spans="1:5" x14ac:dyDescent="0.35">
      <c r="A5" s="477">
        <v>46204</v>
      </c>
      <c r="B5" s="6" t="s">
        <v>8</v>
      </c>
      <c r="C5" s="7">
        <v>1</v>
      </c>
      <c r="D5" s="300"/>
      <c r="E5" s="6"/>
    </row>
    <row r="6" spans="1:5" x14ac:dyDescent="0.35">
      <c r="A6" s="478"/>
      <c r="B6" s="12"/>
      <c r="C6" s="13"/>
      <c r="D6" s="13"/>
      <c r="E6" s="12"/>
    </row>
    <row r="7" spans="1:5" x14ac:dyDescent="0.35">
      <c r="A7" s="479" t="s">
        <v>9</v>
      </c>
      <c r="B7" s="3"/>
      <c r="C7" s="4"/>
      <c r="D7" s="4"/>
      <c r="E7" s="3"/>
    </row>
    <row r="8" spans="1:5" x14ac:dyDescent="0.35">
      <c r="A8" s="391">
        <v>46204</v>
      </c>
      <c r="B8" s="33" t="s">
        <v>8</v>
      </c>
      <c r="C8" s="30">
        <v>1</v>
      </c>
      <c r="D8" s="301">
        <v>9</v>
      </c>
      <c r="E8" s="3" t="s">
        <v>1795</v>
      </c>
    </row>
    <row r="9" spans="1:5" ht="33" x14ac:dyDescent="0.45">
      <c r="A9" s="392"/>
      <c r="B9" s="33" t="s">
        <v>843</v>
      </c>
      <c r="C9" s="30">
        <v>1</v>
      </c>
      <c r="D9" s="302"/>
      <c r="E9" s="91" t="s">
        <v>844</v>
      </c>
    </row>
    <row r="10" spans="1:5" x14ac:dyDescent="0.35">
      <c r="A10" s="392"/>
      <c r="B10" s="33" t="s">
        <v>845</v>
      </c>
      <c r="C10" s="30">
        <v>1</v>
      </c>
      <c r="D10" s="302"/>
      <c r="E10" s="3" t="s">
        <v>846</v>
      </c>
    </row>
    <row r="11" spans="1:5" x14ac:dyDescent="0.35">
      <c r="A11" s="392"/>
      <c r="B11" s="33" t="s">
        <v>620</v>
      </c>
      <c r="C11" s="30">
        <v>1</v>
      </c>
      <c r="D11" s="302"/>
      <c r="E11" s="3" t="s">
        <v>847</v>
      </c>
    </row>
    <row r="12" spans="1:5" x14ac:dyDescent="0.35">
      <c r="A12" s="392"/>
      <c r="B12" s="32" t="s">
        <v>848</v>
      </c>
      <c r="C12" s="30">
        <v>4</v>
      </c>
      <c r="D12" s="302"/>
      <c r="E12" s="3" t="s">
        <v>849</v>
      </c>
    </row>
    <row r="13" spans="1:5" ht="16.5" x14ac:dyDescent="0.45">
      <c r="A13" s="392"/>
      <c r="B13" s="34" t="s">
        <v>850</v>
      </c>
      <c r="C13" s="4" t="s">
        <v>508</v>
      </c>
      <c r="D13" s="302"/>
      <c r="E13" s="3" t="s">
        <v>851</v>
      </c>
    </row>
    <row r="14" spans="1:5" x14ac:dyDescent="0.35">
      <c r="A14" s="393"/>
      <c r="B14" s="3" t="s">
        <v>852</v>
      </c>
      <c r="C14" s="4" t="s">
        <v>508</v>
      </c>
      <c r="D14" s="303"/>
      <c r="E14" s="3" t="s">
        <v>853</v>
      </c>
    </row>
    <row r="15" spans="1:5" x14ac:dyDescent="0.35">
      <c r="A15" s="480"/>
      <c r="B15" s="32"/>
      <c r="C15" s="27"/>
      <c r="D15" s="4"/>
      <c r="E15" s="3"/>
    </row>
    <row r="16" spans="1:5" x14ac:dyDescent="0.35">
      <c r="A16" s="391">
        <v>46205</v>
      </c>
      <c r="B16" s="33" t="s">
        <v>8</v>
      </c>
      <c r="C16" s="30">
        <v>1</v>
      </c>
      <c r="D16" s="301">
        <v>9.4499999999999993</v>
      </c>
      <c r="E16" s="3" t="s">
        <v>1795</v>
      </c>
    </row>
    <row r="17" spans="1:5" x14ac:dyDescent="0.35">
      <c r="A17" s="392"/>
      <c r="B17" s="3" t="s">
        <v>854</v>
      </c>
      <c r="C17" s="4">
        <v>7</v>
      </c>
      <c r="D17" s="302"/>
      <c r="E17" s="3" t="s">
        <v>847</v>
      </c>
    </row>
    <row r="18" spans="1:5" x14ac:dyDescent="0.35">
      <c r="A18" s="392"/>
      <c r="B18" s="3" t="s">
        <v>855</v>
      </c>
      <c r="C18" s="4" t="s">
        <v>508</v>
      </c>
      <c r="D18" s="302"/>
      <c r="E18" s="3" t="s">
        <v>856</v>
      </c>
    </row>
    <row r="19" spans="1:5" x14ac:dyDescent="0.35">
      <c r="A19" s="392"/>
      <c r="B19" s="3" t="s">
        <v>857</v>
      </c>
      <c r="C19" s="4" t="s">
        <v>508</v>
      </c>
      <c r="D19" s="302"/>
      <c r="E19" s="3" t="s">
        <v>858</v>
      </c>
    </row>
    <row r="20" spans="1:5" x14ac:dyDescent="0.35">
      <c r="A20" s="393"/>
      <c r="B20" s="3" t="s">
        <v>630</v>
      </c>
      <c r="C20" s="4" t="s">
        <v>859</v>
      </c>
      <c r="D20" s="303"/>
      <c r="E20" s="3" t="s">
        <v>860</v>
      </c>
    </row>
    <row r="21" spans="1:5" x14ac:dyDescent="0.35">
      <c r="A21" s="40"/>
      <c r="B21" s="3"/>
      <c r="C21" s="4"/>
      <c r="D21" s="4"/>
      <c r="E21" s="3"/>
    </row>
    <row r="22" spans="1:5" x14ac:dyDescent="0.35">
      <c r="A22" s="391">
        <v>46206</v>
      </c>
      <c r="B22" s="33" t="s">
        <v>8</v>
      </c>
      <c r="C22" s="30">
        <v>1</v>
      </c>
      <c r="D22" s="404">
        <v>9</v>
      </c>
      <c r="E22" s="3" t="s">
        <v>1795</v>
      </c>
    </row>
    <row r="23" spans="1:5" x14ac:dyDescent="0.35">
      <c r="A23" s="392"/>
      <c r="B23" s="3" t="s">
        <v>630</v>
      </c>
      <c r="C23" s="40">
        <v>1.5</v>
      </c>
      <c r="D23" s="364"/>
      <c r="E23" s="3" t="s">
        <v>861</v>
      </c>
    </row>
    <row r="24" spans="1:5" x14ac:dyDescent="0.35">
      <c r="A24" s="392"/>
      <c r="B24" t="s">
        <v>862</v>
      </c>
      <c r="C24" s="94">
        <v>1</v>
      </c>
      <c r="D24" s="364"/>
      <c r="E24" t="s">
        <v>863</v>
      </c>
    </row>
    <row r="25" spans="1:5" x14ac:dyDescent="0.35">
      <c r="A25" s="392"/>
      <c r="B25" t="s">
        <v>665</v>
      </c>
      <c r="C25" s="94">
        <v>4.5</v>
      </c>
      <c r="D25" s="364"/>
      <c r="E25" t="s">
        <v>864</v>
      </c>
    </row>
    <row r="26" spans="1:5" x14ac:dyDescent="0.35">
      <c r="A26" s="392"/>
      <c r="B26" t="s">
        <v>865</v>
      </c>
      <c r="C26" s="94">
        <v>0.5</v>
      </c>
      <c r="D26" s="364"/>
      <c r="E26" t="s">
        <v>866</v>
      </c>
    </row>
    <row r="27" spans="1:5" x14ac:dyDescent="0.35">
      <c r="A27" s="393"/>
      <c r="B27" t="s">
        <v>867</v>
      </c>
      <c r="C27" s="94">
        <v>0.5</v>
      </c>
      <c r="D27" s="364"/>
      <c r="E27" t="s">
        <v>868</v>
      </c>
    </row>
    <row r="29" spans="1:5" x14ac:dyDescent="0.35">
      <c r="A29" s="477">
        <v>46209</v>
      </c>
      <c r="B29" t="s">
        <v>869</v>
      </c>
    </row>
    <row r="31" spans="1:5" x14ac:dyDescent="0.35">
      <c r="A31" s="402">
        <v>46210</v>
      </c>
      <c r="B31" s="33" t="s">
        <v>8</v>
      </c>
      <c r="C31" s="30">
        <v>1</v>
      </c>
      <c r="D31" s="364">
        <v>9</v>
      </c>
      <c r="E31" s="3" t="s">
        <v>1795</v>
      </c>
    </row>
    <row r="32" spans="1:5" x14ac:dyDescent="0.35">
      <c r="A32" s="403"/>
      <c r="B32" t="s">
        <v>546</v>
      </c>
      <c r="C32" s="27">
        <v>5</v>
      </c>
      <c r="D32" s="364"/>
      <c r="E32" t="s">
        <v>870</v>
      </c>
    </row>
    <row r="33" spans="1:5" x14ac:dyDescent="0.35">
      <c r="A33" s="403"/>
      <c r="B33" s="3" t="s">
        <v>871</v>
      </c>
      <c r="C33" s="27">
        <v>0.5</v>
      </c>
      <c r="D33" s="364"/>
      <c r="E33" t="s">
        <v>872</v>
      </c>
    </row>
    <row r="34" spans="1:5" x14ac:dyDescent="0.35">
      <c r="A34" s="403"/>
      <c r="B34" t="s">
        <v>873</v>
      </c>
      <c r="C34" s="27">
        <v>0.5</v>
      </c>
      <c r="D34" s="364"/>
      <c r="E34" t="s">
        <v>874</v>
      </c>
    </row>
    <row r="35" spans="1:5" x14ac:dyDescent="0.35">
      <c r="A35" s="403"/>
      <c r="B35" t="s">
        <v>875</v>
      </c>
      <c r="C35" s="27">
        <v>0.5</v>
      </c>
      <c r="D35" s="364"/>
      <c r="E35" t="s">
        <v>876</v>
      </c>
    </row>
    <row r="36" spans="1:5" x14ac:dyDescent="0.35">
      <c r="A36" s="403"/>
      <c r="B36" t="s">
        <v>877</v>
      </c>
      <c r="C36" s="164">
        <v>1.5</v>
      </c>
      <c r="D36" s="364"/>
      <c r="E36" t="s">
        <v>878</v>
      </c>
    </row>
    <row r="38" spans="1:5" x14ac:dyDescent="0.35">
      <c r="A38" s="401">
        <v>46211</v>
      </c>
      <c r="B38" s="33" t="s">
        <v>8</v>
      </c>
      <c r="C38" s="30">
        <v>1</v>
      </c>
      <c r="D38" s="364">
        <v>9.5</v>
      </c>
      <c r="E38" s="3" t="s">
        <v>1795</v>
      </c>
    </row>
    <row r="39" spans="1:5" x14ac:dyDescent="0.35">
      <c r="A39" s="401"/>
      <c r="B39" t="s">
        <v>879</v>
      </c>
      <c r="C39" s="27">
        <v>5</v>
      </c>
      <c r="D39" s="364"/>
      <c r="E39" t="s">
        <v>880</v>
      </c>
    </row>
    <row r="40" spans="1:5" x14ac:dyDescent="0.35">
      <c r="A40" s="401"/>
      <c r="B40" t="s">
        <v>881</v>
      </c>
      <c r="C40" s="27">
        <v>1</v>
      </c>
      <c r="D40" s="364"/>
      <c r="E40" t="s">
        <v>882</v>
      </c>
    </row>
    <row r="41" spans="1:5" x14ac:dyDescent="0.35">
      <c r="A41" s="401"/>
      <c r="B41" t="s">
        <v>1819</v>
      </c>
      <c r="C41" s="27">
        <v>0.5</v>
      </c>
      <c r="D41" s="364"/>
      <c r="E41" t="s">
        <v>1818</v>
      </c>
    </row>
    <row r="42" spans="1:5" x14ac:dyDescent="0.35">
      <c r="A42" s="401"/>
      <c r="B42" t="s">
        <v>884</v>
      </c>
      <c r="C42" s="27">
        <v>1.5</v>
      </c>
      <c r="D42" s="364"/>
      <c r="E42" t="s">
        <v>885</v>
      </c>
    </row>
    <row r="43" spans="1:5" x14ac:dyDescent="0.35">
      <c r="A43" s="401"/>
      <c r="B43" t="s">
        <v>886</v>
      </c>
      <c r="C43" s="27">
        <v>0.5</v>
      </c>
      <c r="D43" s="364"/>
      <c r="E43" t="s">
        <v>887</v>
      </c>
    </row>
    <row r="45" spans="1:5" x14ac:dyDescent="0.35">
      <c r="A45" s="481">
        <v>46212</v>
      </c>
      <c r="B45" s="33" t="s">
        <v>8</v>
      </c>
      <c r="C45" s="30">
        <v>1</v>
      </c>
      <c r="D45" s="358">
        <v>9</v>
      </c>
      <c r="E45" s="3" t="s">
        <v>1795</v>
      </c>
    </row>
    <row r="46" spans="1:5" x14ac:dyDescent="0.35">
      <c r="A46" s="481">
        <v>46212</v>
      </c>
      <c r="B46" t="s">
        <v>888</v>
      </c>
      <c r="C46" s="27">
        <v>0.5</v>
      </c>
      <c r="D46" s="358"/>
      <c r="E46" t="s">
        <v>889</v>
      </c>
    </row>
    <row r="47" spans="1:5" x14ac:dyDescent="0.35">
      <c r="A47" s="481">
        <v>46212</v>
      </c>
      <c r="B47" t="s">
        <v>890</v>
      </c>
      <c r="C47" s="27">
        <v>40</v>
      </c>
      <c r="D47" s="358"/>
      <c r="E47" t="s">
        <v>891</v>
      </c>
    </row>
    <row r="48" spans="1:5" x14ac:dyDescent="0.35">
      <c r="A48" s="481">
        <v>46212</v>
      </c>
      <c r="B48" t="s">
        <v>1819</v>
      </c>
      <c r="C48" s="27">
        <v>0.5</v>
      </c>
      <c r="D48" s="358"/>
      <c r="E48" t="s">
        <v>1818</v>
      </c>
    </row>
    <row r="49" spans="1:5" x14ac:dyDescent="0.35">
      <c r="A49" s="481">
        <v>46212</v>
      </c>
      <c r="B49" t="s">
        <v>892</v>
      </c>
      <c r="C49" s="27">
        <v>5</v>
      </c>
      <c r="D49" s="358"/>
      <c r="E49" t="s">
        <v>893</v>
      </c>
    </row>
    <row r="50" spans="1:5" x14ac:dyDescent="0.35">
      <c r="A50" s="481">
        <v>46212</v>
      </c>
      <c r="B50" t="s">
        <v>894</v>
      </c>
      <c r="C50" s="27">
        <v>0.5</v>
      </c>
      <c r="D50" s="358"/>
      <c r="E50" t="s">
        <v>895</v>
      </c>
    </row>
    <row r="51" spans="1:5" x14ac:dyDescent="0.35">
      <c r="A51" s="481">
        <v>46212</v>
      </c>
      <c r="B51" t="s">
        <v>896</v>
      </c>
      <c r="C51" s="27">
        <v>0.5</v>
      </c>
      <c r="D51" s="358"/>
      <c r="E51" t="s">
        <v>897</v>
      </c>
    </row>
    <row r="52" spans="1:5" x14ac:dyDescent="0.35">
      <c r="A52" s="481">
        <v>46212</v>
      </c>
      <c r="B52" t="s">
        <v>898</v>
      </c>
      <c r="C52" s="94">
        <v>10</v>
      </c>
      <c r="D52" s="358"/>
      <c r="E52" t="s">
        <v>899</v>
      </c>
    </row>
    <row r="53" spans="1:5" x14ac:dyDescent="0.35">
      <c r="A53" s="481">
        <v>46212</v>
      </c>
      <c r="B53" t="s">
        <v>652</v>
      </c>
      <c r="C53" s="27">
        <v>10</v>
      </c>
      <c r="D53" s="405"/>
      <c r="E53" t="s">
        <v>653</v>
      </c>
    </row>
    <row r="55" spans="1:5" x14ac:dyDescent="0.35">
      <c r="A55" s="401">
        <v>46213</v>
      </c>
      <c r="B55" s="33" t="s">
        <v>8</v>
      </c>
      <c r="C55" s="30">
        <v>1</v>
      </c>
      <c r="D55" s="364">
        <v>9.5</v>
      </c>
      <c r="E55" s="3" t="s">
        <v>1795</v>
      </c>
    </row>
    <row r="56" spans="1:5" x14ac:dyDescent="0.35">
      <c r="A56" s="401"/>
      <c r="B56" t="s">
        <v>900</v>
      </c>
      <c r="C56" s="27">
        <v>0.5</v>
      </c>
      <c r="D56" s="364"/>
      <c r="E56" t="s">
        <v>901</v>
      </c>
    </row>
    <row r="57" spans="1:5" x14ac:dyDescent="0.35">
      <c r="A57" s="401"/>
      <c r="B57" t="s">
        <v>1819</v>
      </c>
      <c r="C57" s="27">
        <v>0.5</v>
      </c>
      <c r="D57" s="364"/>
      <c r="E57" t="s">
        <v>1818</v>
      </c>
    </row>
    <row r="58" spans="1:5" x14ac:dyDescent="0.35">
      <c r="A58" s="401"/>
      <c r="B58" t="s">
        <v>902</v>
      </c>
      <c r="C58" s="27">
        <v>1</v>
      </c>
      <c r="D58" s="364"/>
      <c r="E58" t="s">
        <v>903</v>
      </c>
    </row>
    <row r="59" spans="1:5" ht="29" x14ac:dyDescent="0.35">
      <c r="A59" s="401"/>
      <c r="B59" t="s">
        <v>904</v>
      </c>
      <c r="C59" s="27">
        <v>1.5</v>
      </c>
      <c r="D59" s="364"/>
      <c r="E59" s="100" t="s">
        <v>905</v>
      </c>
    </row>
    <row r="60" spans="1:5" x14ac:dyDescent="0.35">
      <c r="A60" s="401"/>
      <c r="B60" t="s">
        <v>906</v>
      </c>
      <c r="C60" s="27">
        <v>5</v>
      </c>
      <c r="D60" s="364"/>
      <c r="E60" t="s">
        <v>907</v>
      </c>
    </row>
    <row r="62" spans="1:5" x14ac:dyDescent="0.35">
      <c r="A62" s="401">
        <v>46216</v>
      </c>
      <c r="B62" s="33" t="s">
        <v>8</v>
      </c>
      <c r="C62" s="30">
        <v>1</v>
      </c>
      <c r="D62" s="364">
        <v>9</v>
      </c>
      <c r="E62" s="3" t="s">
        <v>1795</v>
      </c>
    </row>
    <row r="63" spans="1:5" x14ac:dyDescent="0.35">
      <c r="A63" s="401"/>
      <c r="B63" t="s">
        <v>908</v>
      </c>
      <c r="C63" s="27">
        <v>45</v>
      </c>
      <c r="D63" s="364"/>
      <c r="E63" t="s">
        <v>783</v>
      </c>
    </row>
    <row r="64" spans="1:5" x14ac:dyDescent="0.35">
      <c r="A64" s="401"/>
      <c r="B64" t="s">
        <v>909</v>
      </c>
      <c r="C64" s="27">
        <v>4</v>
      </c>
      <c r="D64" s="364"/>
      <c r="E64" t="s">
        <v>910</v>
      </c>
    </row>
    <row r="65" spans="1:5" x14ac:dyDescent="0.35">
      <c r="A65" s="401"/>
      <c r="B65" t="s">
        <v>665</v>
      </c>
      <c r="C65" s="27">
        <v>3</v>
      </c>
      <c r="D65" s="364"/>
      <c r="E65" t="s">
        <v>911</v>
      </c>
    </row>
    <row r="66" spans="1:5" x14ac:dyDescent="0.35">
      <c r="A66" s="401"/>
      <c r="B66" t="s">
        <v>912</v>
      </c>
      <c r="C66" s="27">
        <v>15</v>
      </c>
      <c r="D66" s="364"/>
      <c r="E66" t="s">
        <v>913</v>
      </c>
    </row>
    <row r="67" spans="1:5" x14ac:dyDescent="0.35">
      <c r="A67" s="482"/>
      <c r="C67" s="27"/>
      <c r="D67" s="27"/>
    </row>
    <row r="68" spans="1:5" x14ac:dyDescent="0.35">
      <c r="A68" s="401">
        <v>46217</v>
      </c>
      <c r="B68" s="33" t="s">
        <v>8</v>
      </c>
      <c r="C68" s="30">
        <v>1</v>
      </c>
      <c r="D68" s="364">
        <v>10.15</v>
      </c>
      <c r="E68" s="3" t="s">
        <v>1795</v>
      </c>
    </row>
    <row r="69" spans="1:5" x14ac:dyDescent="0.35">
      <c r="A69" s="401"/>
      <c r="B69" t="s">
        <v>1819</v>
      </c>
      <c r="C69" s="27">
        <v>0.5</v>
      </c>
      <c r="D69" s="364"/>
      <c r="E69" t="s">
        <v>1818</v>
      </c>
    </row>
    <row r="70" spans="1:5" x14ac:dyDescent="0.35">
      <c r="A70" s="401"/>
      <c r="B70" t="s">
        <v>665</v>
      </c>
      <c r="C70" s="27">
        <v>6</v>
      </c>
      <c r="D70" s="364"/>
      <c r="E70" t="s">
        <v>914</v>
      </c>
    </row>
    <row r="71" spans="1:5" x14ac:dyDescent="0.35">
      <c r="A71" s="401"/>
      <c r="B71" t="s">
        <v>912</v>
      </c>
      <c r="C71" s="27">
        <v>0.5</v>
      </c>
      <c r="D71" s="364"/>
      <c r="E71" t="s">
        <v>915</v>
      </c>
    </row>
    <row r="72" spans="1:5" x14ac:dyDescent="0.35">
      <c r="A72" s="401"/>
      <c r="B72" t="s">
        <v>916</v>
      </c>
      <c r="C72" s="27">
        <v>1</v>
      </c>
      <c r="D72" s="364"/>
      <c r="E72" t="s">
        <v>917</v>
      </c>
    </row>
    <row r="73" spans="1:5" x14ac:dyDescent="0.35">
      <c r="A73" s="401"/>
      <c r="B73" t="s">
        <v>918</v>
      </c>
      <c r="C73" s="27">
        <v>15</v>
      </c>
      <c r="D73" s="364"/>
      <c r="E73" t="s">
        <v>919</v>
      </c>
    </row>
    <row r="74" spans="1:5" x14ac:dyDescent="0.35">
      <c r="A74" s="401"/>
      <c r="B74" t="s">
        <v>920</v>
      </c>
      <c r="C74" s="27">
        <v>1</v>
      </c>
      <c r="D74" s="364"/>
      <c r="E74" t="s">
        <v>921</v>
      </c>
    </row>
    <row r="76" spans="1:5" x14ac:dyDescent="0.35">
      <c r="A76" s="401">
        <v>46218</v>
      </c>
      <c r="B76" s="33" t="s">
        <v>8</v>
      </c>
      <c r="C76" s="30">
        <v>1</v>
      </c>
      <c r="D76" s="406">
        <v>0.38194444444444442</v>
      </c>
      <c r="E76" s="3" t="s">
        <v>1795</v>
      </c>
    </row>
    <row r="77" spans="1:5" x14ac:dyDescent="0.35">
      <c r="A77" s="401"/>
      <c r="B77" t="s">
        <v>922</v>
      </c>
      <c r="C77" s="27">
        <v>4</v>
      </c>
      <c r="D77" s="364"/>
      <c r="E77" t="s">
        <v>923</v>
      </c>
    </row>
    <row r="78" spans="1:5" x14ac:dyDescent="0.35">
      <c r="A78" s="401"/>
      <c r="B78" t="s">
        <v>924</v>
      </c>
      <c r="C78" s="27">
        <v>4</v>
      </c>
      <c r="D78" s="364"/>
      <c r="E78" t="s">
        <v>925</v>
      </c>
    </row>
    <row r="79" spans="1:5" x14ac:dyDescent="0.35">
      <c r="A79" s="401"/>
      <c r="B79" t="s">
        <v>926</v>
      </c>
      <c r="C79" s="27">
        <v>10</v>
      </c>
      <c r="D79" s="364"/>
      <c r="E79" t="s">
        <v>927</v>
      </c>
    </row>
    <row r="80" spans="1:5" x14ac:dyDescent="0.35">
      <c r="A80" s="439"/>
    </row>
    <row r="81" spans="1:5" x14ac:dyDescent="0.35">
      <c r="A81" s="401">
        <v>46219</v>
      </c>
      <c r="B81" s="33" t="s">
        <v>8</v>
      </c>
      <c r="C81" s="30">
        <v>1</v>
      </c>
      <c r="D81" s="364">
        <v>12.5</v>
      </c>
      <c r="E81" s="3" t="s">
        <v>1795</v>
      </c>
    </row>
    <row r="82" spans="1:5" x14ac:dyDescent="0.35">
      <c r="A82" s="401"/>
      <c r="B82" t="s">
        <v>1819</v>
      </c>
      <c r="C82" s="27">
        <v>0.5</v>
      </c>
      <c r="D82" s="364"/>
      <c r="E82" t="s">
        <v>1818</v>
      </c>
    </row>
    <row r="83" spans="1:5" x14ac:dyDescent="0.35">
      <c r="A83" s="401"/>
      <c r="B83" t="s">
        <v>928</v>
      </c>
      <c r="C83" s="27">
        <v>45</v>
      </c>
      <c r="D83" s="364"/>
    </row>
    <row r="84" spans="1:5" x14ac:dyDescent="0.35">
      <c r="A84" s="401"/>
      <c r="B84" t="s">
        <v>929</v>
      </c>
      <c r="C84" s="27">
        <v>45</v>
      </c>
      <c r="D84" s="364"/>
      <c r="E84" t="s">
        <v>930</v>
      </c>
    </row>
    <row r="85" spans="1:5" x14ac:dyDescent="0.35">
      <c r="A85" s="401"/>
      <c r="B85" t="s">
        <v>922</v>
      </c>
      <c r="C85" s="27">
        <v>1</v>
      </c>
      <c r="D85" s="364"/>
      <c r="E85" t="s">
        <v>923</v>
      </c>
    </row>
    <row r="86" spans="1:5" x14ac:dyDescent="0.35">
      <c r="A86" s="401"/>
      <c r="B86" t="s">
        <v>931</v>
      </c>
      <c r="C86" s="27">
        <v>2</v>
      </c>
      <c r="D86" s="364"/>
      <c r="E86" t="s">
        <v>932</v>
      </c>
    </row>
    <row r="87" spans="1:5" x14ac:dyDescent="0.35">
      <c r="A87" s="401"/>
      <c r="B87" t="s">
        <v>933</v>
      </c>
      <c r="C87" s="27">
        <v>6</v>
      </c>
      <c r="D87" s="364"/>
      <c r="E87" t="s">
        <v>934</v>
      </c>
    </row>
    <row r="89" spans="1:5" x14ac:dyDescent="0.35">
      <c r="A89" s="401">
        <v>46220</v>
      </c>
      <c r="B89" s="33" t="s">
        <v>8</v>
      </c>
      <c r="C89" s="30">
        <v>1</v>
      </c>
      <c r="D89" s="364">
        <v>10</v>
      </c>
      <c r="E89" s="3" t="s">
        <v>1795</v>
      </c>
    </row>
    <row r="90" spans="1:5" x14ac:dyDescent="0.35">
      <c r="A90" s="401"/>
      <c r="B90" t="s">
        <v>1819</v>
      </c>
      <c r="C90" s="27">
        <v>0.5</v>
      </c>
      <c r="D90" s="364"/>
      <c r="E90" t="s">
        <v>1818</v>
      </c>
    </row>
    <row r="91" spans="1:5" x14ac:dyDescent="0.35">
      <c r="A91" s="401"/>
      <c r="B91" t="s">
        <v>935</v>
      </c>
      <c r="C91" s="27">
        <v>15</v>
      </c>
      <c r="D91" s="364"/>
      <c r="E91" t="s">
        <v>936</v>
      </c>
    </row>
    <row r="92" spans="1:5" x14ac:dyDescent="0.35">
      <c r="A92" s="401"/>
      <c r="B92" t="s">
        <v>937</v>
      </c>
      <c r="C92" s="27">
        <v>15</v>
      </c>
      <c r="D92" s="364"/>
      <c r="E92" t="s">
        <v>938</v>
      </c>
    </row>
    <row r="93" spans="1:5" x14ac:dyDescent="0.35">
      <c r="A93" s="401"/>
      <c r="B93" t="s">
        <v>939</v>
      </c>
      <c r="C93" s="27">
        <v>8</v>
      </c>
      <c r="D93" s="364"/>
      <c r="E93" t="s">
        <v>940</v>
      </c>
    </row>
    <row r="95" spans="1:5" x14ac:dyDescent="0.35">
      <c r="A95" s="401">
        <v>46223</v>
      </c>
      <c r="B95" s="33" t="s">
        <v>8</v>
      </c>
      <c r="C95" s="30">
        <v>1</v>
      </c>
      <c r="D95" s="364">
        <v>9.5</v>
      </c>
      <c r="E95" s="3" t="s">
        <v>1795</v>
      </c>
    </row>
    <row r="96" spans="1:5" x14ac:dyDescent="0.35">
      <c r="A96" s="401"/>
      <c r="B96" t="s">
        <v>1819</v>
      </c>
      <c r="C96" s="27">
        <v>0.5</v>
      </c>
      <c r="D96" s="364"/>
      <c r="E96" t="s">
        <v>1818</v>
      </c>
    </row>
    <row r="97" spans="1:5" x14ac:dyDescent="0.35">
      <c r="A97" s="401"/>
      <c r="B97" t="s">
        <v>692</v>
      </c>
      <c r="C97" s="27">
        <v>2</v>
      </c>
      <c r="D97" s="364"/>
      <c r="E97" s="240" t="s">
        <v>941</v>
      </c>
    </row>
    <row r="98" spans="1:5" x14ac:dyDescent="0.35">
      <c r="A98" s="401"/>
      <c r="B98" t="s">
        <v>942</v>
      </c>
      <c r="C98" s="27">
        <v>3</v>
      </c>
      <c r="D98" s="364"/>
      <c r="E98" t="s">
        <v>943</v>
      </c>
    </row>
    <row r="99" spans="1:5" x14ac:dyDescent="0.35">
      <c r="A99" s="401"/>
      <c r="B99" t="s">
        <v>944</v>
      </c>
      <c r="C99" s="27">
        <v>2</v>
      </c>
      <c r="D99" s="364"/>
    </row>
    <row r="100" spans="1:5" x14ac:dyDescent="0.35">
      <c r="A100" s="224"/>
      <c r="B100" t="s">
        <v>945</v>
      </c>
      <c r="C100" s="27">
        <v>1</v>
      </c>
      <c r="D100" s="364"/>
      <c r="E100" t="s">
        <v>946</v>
      </c>
    </row>
    <row r="102" spans="1:5" x14ac:dyDescent="0.35">
      <c r="A102" s="401">
        <v>46224</v>
      </c>
      <c r="B102" s="33" t="s">
        <v>8</v>
      </c>
      <c r="C102" s="30">
        <v>1</v>
      </c>
      <c r="D102" s="364">
        <v>9</v>
      </c>
      <c r="E102" s="3" t="s">
        <v>1795</v>
      </c>
    </row>
    <row r="103" spans="1:5" x14ac:dyDescent="0.35">
      <c r="A103" s="401"/>
      <c r="B103" t="s">
        <v>1819</v>
      </c>
      <c r="C103" s="27">
        <v>0.5</v>
      </c>
      <c r="D103" s="364"/>
      <c r="E103" t="s">
        <v>1818</v>
      </c>
    </row>
    <row r="104" spans="1:5" x14ac:dyDescent="0.35">
      <c r="A104" s="401"/>
      <c r="B104" t="s">
        <v>947</v>
      </c>
      <c r="C104" s="27">
        <v>7.5</v>
      </c>
      <c r="D104" s="364"/>
      <c r="E104" t="s">
        <v>948</v>
      </c>
    </row>
    <row r="106" spans="1:5" x14ac:dyDescent="0.35">
      <c r="A106" s="401">
        <v>46225</v>
      </c>
      <c r="B106" s="33" t="s">
        <v>8</v>
      </c>
      <c r="C106" s="30">
        <v>1</v>
      </c>
      <c r="D106" s="364">
        <v>10</v>
      </c>
      <c r="E106" s="3" t="s">
        <v>1795</v>
      </c>
    </row>
    <row r="107" spans="1:5" x14ac:dyDescent="0.35">
      <c r="A107" s="401"/>
      <c r="B107" t="s">
        <v>1819</v>
      </c>
      <c r="C107" s="27">
        <v>0.5</v>
      </c>
      <c r="D107" s="364"/>
      <c r="E107" t="s">
        <v>1818</v>
      </c>
    </row>
    <row r="108" spans="1:5" x14ac:dyDescent="0.35">
      <c r="A108" s="401"/>
      <c r="B108" t="s">
        <v>949</v>
      </c>
      <c r="C108" s="27">
        <v>4</v>
      </c>
      <c r="D108" s="364"/>
      <c r="E108" t="s">
        <v>950</v>
      </c>
    </row>
    <row r="109" spans="1:5" x14ac:dyDescent="0.35">
      <c r="A109" s="401"/>
      <c r="B109" t="s">
        <v>951</v>
      </c>
      <c r="C109" s="27">
        <v>3</v>
      </c>
      <c r="D109" s="364"/>
      <c r="E109" t="s">
        <v>1570</v>
      </c>
    </row>
    <row r="110" spans="1:5" x14ac:dyDescent="0.35">
      <c r="A110" s="401"/>
      <c r="B110" t="s">
        <v>704</v>
      </c>
      <c r="C110" s="27">
        <v>1.5</v>
      </c>
      <c r="D110" s="364"/>
      <c r="E110" t="s">
        <v>705</v>
      </c>
    </row>
    <row r="112" spans="1:5" x14ac:dyDescent="0.35">
      <c r="A112" s="401">
        <v>46226</v>
      </c>
      <c r="B112" s="33" t="s">
        <v>8</v>
      </c>
      <c r="C112" s="30">
        <v>1</v>
      </c>
      <c r="D112" s="364">
        <v>9</v>
      </c>
      <c r="E112" s="3" t="s">
        <v>1795</v>
      </c>
    </row>
    <row r="113" spans="1:5" x14ac:dyDescent="0.35">
      <c r="A113" s="401"/>
      <c r="B113" t="s">
        <v>1819</v>
      </c>
      <c r="C113" s="27">
        <v>0.5</v>
      </c>
      <c r="D113" s="364"/>
      <c r="E113" t="s">
        <v>1818</v>
      </c>
    </row>
    <row r="114" spans="1:5" x14ac:dyDescent="0.35">
      <c r="A114" s="401"/>
      <c r="B114" t="s">
        <v>937</v>
      </c>
      <c r="C114" s="27">
        <v>0.5</v>
      </c>
      <c r="D114" s="364"/>
      <c r="E114" t="s">
        <v>938</v>
      </c>
    </row>
    <row r="115" spans="1:5" x14ac:dyDescent="0.35">
      <c r="A115" s="401"/>
      <c r="B115" t="s">
        <v>952</v>
      </c>
      <c r="C115" s="27">
        <v>4</v>
      </c>
      <c r="D115" s="364"/>
      <c r="E115" t="s">
        <v>1571</v>
      </c>
    </row>
    <row r="116" spans="1:5" x14ac:dyDescent="0.35">
      <c r="A116" s="401"/>
      <c r="B116" t="s">
        <v>704</v>
      </c>
      <c r="C116" s="27">
        <v>1.5</v>
      </c>
      <c r="D116" s="364"/>
      <c r="E116" t="s">
        <v>705</v>
      </c>
    </row>
    <row r="117" spans="1:5" x14ac:dyDescent="0.35">
      <c r="A117" s="224"/>
      <c r="B117" t="s">
        <v>1566</v>
      </c>
      <c r="C117" s="27">
        <v>1.5</v>
      </c>
      <c r="D117" s="364"/>
      <c r="E117" s="242" t="s">
        <v>1567</v>
      </c>
    </row>
    <row r="119" spans="1:5" x14ac:dyDescent="0.35">
      <c r="A119" s="401">
        <v>46227</v>
      </c>
      <c r="B119" s="33" t="s">
        <v>8</v>
      </c>
      <c r="C119" s="30">
        <v>1</v>
      </c>
      <c r="D119" s="364">
        <v>9</v>
      </c>
      <c r="E119" s="3" t="s">
        <v>1795</v>
      </c>
    </row>
    <row r="120" spans="1:5" x14ac:dyDescent="0.35">
      <c r="A120" s="401"/>
      <c r="B120" t="s">
        <v>1819</v>
      </c>
      <c r="C120" s="27">
        <v>0.5</v>
      </c>
      <c r="D120" s="364"/>
      <c r="E120" t="s">
        <v>1818</v>
      </c>
    </row>
    <row r="121" spans="1:5" x14ac:dyDescent="0.35">
      <c r="A121" s="401"/>
      <c r="B121" s="158" t="s">
        <v>837</v>
      </c>
      <c r="C121" s="245">
        <v>7</v>
      </c>
      <c r="D121" s="364"/>
      <c r="E121" t="s">
        <v>1586</v>
      </c>
    </row>
    <row r="122" spans="1:5" x14ac:dyDescent="0.35">
      <c r="A122" s="401"/>
      <c r="B122" t="s">
        <v>1587</v>
      </c>
      <c r="C122" s="94">
        <v>0.5</v>
      </c>
      <c r="D122" s="364"/>
      <c r="E122" t="s">
        <v>1588</v>
      </c>
    </row>
    <row r="123" spans="1:5" x14ac:dyDescent="0.35">
      <c r="A123" s="439"/>
    </row>
    <row r="124" spans="1:5" x14ac:dyDescent="0.35">
      <c r="A124" s="401">
        <v>46230</v>
      </c>
      <c r="B124" s="33" t="s">
        <v>8</v>
      </c>
      <c r="C124" s="30">
        <v>1</v>
      </c>
      <c r="D124" s="318"/>
      <c r="E124" s="3" t="s">
        <v>1795</v>
      </c>
    </row>
    <row r="125" spans="1:5" x14ac:dyDescent="0.35">
      <c r="A125" s="401"/>
      <c r="B125" t="s">
        <v>1819</v>
      </c>
      <c r="C125" s="27">
        <v>0.5</v>
      </c>
      <c r="D125" s="318"/>
      <c r="E125" t="s">
        <v>1818</v>
      </c>
    </row>
    <row r="126" spans="1:5" x14ac:dyDescent="0.35">
      <c r="A126" s="401"/>
      <c r="B126" t="s">
        <v>1584</v>
      </c>
      <c r="C126" s="27">
        <v>2</v>
      </c>
      <c r="D126" s="318"/>
      <c r="E126" t="s">
        <v>1585</v>
      </c>
    </row>
    <row r="127" spans="1:5" x14ac:dyDescent="0.35">
      <c r="A127" s="401"/>
      <c r="B127" t="s">
        <v>1589</v>
      </c>
      <c r="C127" s="27">
        <v>3</v>
      </c>
      <c r="D127" s="318"/>
      <c r="E127" t="s">
        <v>1590</v>
      </c>
    </row>
    <row r="128" spans="1:5" x14ac:dyDescent="0.35">
      <c r="A128" s="224"/>
      <c r="B128" t="s">
        <v>327</v>
      </c>
      <c r="C128" s="27"/>
      <c r="D128" s="318"/>
    </row>
    <row r="130" spans="1:5" x14ac:dyDescent="0.35">
      <c r="A130" s="477">
        <v>46231</v>
      </c>
      <c r="B130" t="s">
        <v>869</v>
      </c>
    </row>
    <row r="131" spans="1:5" x14ac:dyDescent="0.35">
      <c r="A131" s="477">
        <v>46232</v>
      </c>
      <c r="B131" t="s">
        <v>869</v>
      </c>
    </row>
    <row r="133" spans="1:5" x14ac:dyDescent="0.35">
      <c r="A133" s="401">
        <v>46233</v>
      </c>
      <c r="B133" t="s">
        <v>922</v>
      </c>
      <c r="C133" s="27">
        <v>2</v>
      </c>
      <c r="D133" s="364">
        <v>8</v>
      </c>
      <c r="E133" t="s">
        <v>1796</v>
      </c>
    </row>
    <row r="134" spans="1:5" x14ac:dyDescent="0.35">
      <c r="A134" s="401"/>
      <c r="B134" t="s">
        <v>952</v>
      </c>
      <c r="C134" s="27">
        <v>3</v>
      </c>
      <c r="D134" s="364"/>
      <c r="E134" t="s">
        <v>1797</v>
      </c>
    </row>
    <row r="135" spans="1:5" x14ac:dyDescent="0.35">
      <c r="A135" s="401"/>
      <c r="B135" t="s">
        <v>1700</v>
      </c>
      <c r="C135" s="27">
        <v>2</v>
      </c>
      <c r="D135" s="364"/>
      <c r="E135" t="s">
        <v>1585</v>
      </c>
    </row>
    <row r="136" spans="1:5" x14ac:dyDescent="0.35">
      <c r="A136" s="401"/>
      <c r="B136" t="s">
        <v>1798</v>
      </c>
    </row>
  </sheetData>
  <mergeCells count="38">
    <mergeCell ref="A124:A127"/>
    <mergeCell ref="A119:A122"/>
    <mergeCell ref="D119:D122"/>
    <mergeCell ref="A133:A136"/>
    <mergeCell ref="D133:D135"/>
    <mergeCell ref="D124:D128"/>
    <mergeCell ref="D76:D79"/>
    <mergeCell ref="A76:A79"/>
    <mergeCell ref="A81:A87"/>
    <mergeCell ref="D81:D87"/>
    <mergeCell ref="D62:D66"/>
    <mergeCell ref="A62:A66"/>
    <mergeCell ref="D38:D43"/>
    <mergeCell ref="D45:D53"/>
    <mergeCell ref="D55:D60"/>
    <mergeCell ref="A68:A74"/>
    <mergeCell ref="D68:D74"/>
    <mergeCell ref="A55:A60"/>
    <mergeCell ref="D3:D5"/>
    <mergeCell ref="D8:D14"/>
    <mergeCell ref="D16:D20"/>
    <mergeCell ref="D22:D27"/>
    <mergeCell ref="D31:D36"/>
    <mergeCell ref="A8:A14"/>
    <mergeCell ref="A16:A20"/>
    <mergeCell ref="A22:A27"/>
    <mergeCell ref="A31:A36"/>
    <mergeCell ref="A38:A43"/>
    <mergeCell ref="A95:A99"/>
    <mergeCell ref="D95:D100"/>
    <mergeCell ref="A89:A93"/>
    <mergeCell ref="D89:D93"/>
    <mergeCell ref="D102:D104"/>
    <mergeCell ref="A106:A110"/>
    <mergeCell ref="D106:D110"/>
    <mergeCell ref="A112:A116"/>
    <mergeCell ref="A102:A104"/>
    <mergeCell ref="D112:D117"/>
  </mergeCells>
  <hyperlinks>
    <hyperlink ref="E97" r:id="rId1" xr:uid="{678CC849-9D55-4B74-A488-3A4062497518}"/>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4AED9-B97C-4AE7-8339-B412BB21E34B}">
  <dimension ref="A1:E118"/>
  <sheetViews>
    <sheetView topLeftCell="A103" workbookViewId="0">
      <selection activeCell="D67" sqref="D67:D73"/>
    </sheetView>
  </sheetViews>
  <sheetFormatPr defaultRowHeight="14.5" x14ac:dyDescent="0.35"/>
  <cols>
    <col min="1" max="1" width="11.54296875" customWidth="1"/>
    <col min="2" max="2" width="57.54296875" customWidth="1"/>
    <col min="3" max="3" width="11.81640625" customWidth="1"/>
    <col min="4" max="4" width="16.26953125" customWidth="1"/>
    <col min="5" max="5" width="60" customWidth="1"/>
  </cols>
  <sheetData>
    <row r="1" spans="1:5" ht="29" x14ac:dyDescent="0.35">
      <c r="A1" s="1" t="s">
        <v>0</v>
      </c>
      <c r="B1" s="1" t="s">
        <v>1</v>
      </c>
      <c r="C1" s="2" t="s">
        <v>2</v>
      </c>
      <c r="D1" s="2" t="s">
        <v>3</v>
      </c>
      <c r="E1" s="1" t="s">
        <v>4</v>
      </c>
    </row>
    <row r="2" spans="1:5" x14ac:dyDescent="0.35">
      <c r="A2" s="10" t="s">
        <v>5</v>
      </c>
      <c r="B2" s="10"/>
      <c r="C2" s="11"/>
      <c r="D2" s="11"/>
      <c r="E2" s="10"/>
    </row>
    <row r="3" spans="1:5" x14ac:dyDescent="0.35">
      <c r="A3" s="5">
        <v>46204</v>
      </c>
      <c r="B3" s="6" t="s">
        <v>6</v>
      </c>
      <c r="C3" s="7">
        <v>2</v>
      </c>
      <c r="D3" s="298">
        <v>9</v>
      </c>
      <c r="E3" s="6"/>
    </row>
    <row r="4" spans="1:5" x14ac:dyDescent="0.35">
      <c r="A4" s="5">
        <v>46204</v>
      </c>
      <c r="B4" s="6" t="s">
        <v>7</v>
      </c>
      <c r="C4" s="7">
        <v>6</v>
      </c>
      <c r="D4" s="299"/>
      <c r="E4" s="6"/>
    </row>
    <row r="5" spans="1:5" x14ac:dyDescent="0.35">
      <c r="A5" s="5">
        <v>46204</v>
      </c>
      <c r="B5" s="6" t="s">
        <v>8</v>
      </c>
      <c r="C5" s="7">
        <v>1</v>
      </c>
      <c r="D5" s="300"/>
      <c r="E5" s="6"/>
    </row>
    <row r="6" spans="1:5" x14ac:dyDescent="0.35">
      <c r="A6" s="12"/>
      <c r="B6" s="12"/>
      <c r="C6" s="13"/>
      <c r="D6" s="31"/>
      <c r="E6" s="12"/>
    </row>
    <row r="7" spans="1:5" x14ac:dyDescent="0.35">
      <c r="A7" s="9" t="s">
        <v>9</v>
      </c>
      <c r="B7" s="3"/>
      <c r="C7" s="23"/>
      <c r="D7" s="28"/>
      <c r="E7" s="24"/>
    </row>
    <row r="8" spans="1:5" x14ac:dyDescent="0.35">
      <c r="A8" s="5">
        <v>46204</v>
      </c>
      <c r="B8" s="6" t="s">
        <v>8</v>
      </c>
      <c r="C8" s="27">
        <v>1</v>
      </c>
      <c r="D8" s="61"/>
      <c r="E8" s="24"/>
    </row>
    <row r="9" spans="1:5" x14ac:dyDescent="0.35">
      <c r="A9" s="5">
        <v>46204</v>
      </c>
      <c r="B9" s="3" t="s">
        <v>535</v>
      </c>
      <c r="C9" s="30">
        <v>3.5</v>
      </c>
      <c r="D9" s="312">
        <v>9.15</v>
      </c>
      <c r="E9" s="24" t="s">
        <v>953</v>
      </c>
    </row>
    <row r="10" spans="1:5" x14ac:dyDescent="0.35">
      <c r="A10" s="5">
        <v>46204</v>
      </c>
      <c r="B10" s="3" t="s">
        <v>954</v>
      </c>
      <c r="C10" s="30">
        <v>0.5</v>
      </c>
      <c r="D10" s="313"/>
      <c r="E10" s="24" t="s">
        <v>955</v>
      </c>
    </row>
    <row r="11" spans="1:5" x14ac:dyDescent="0.35">
      <c r="A11" s="5">
        <v>46204</v>
      </c>
      <c r="B11" s="6" t="s">
        <v>7</v>
      </c>
      <c r="C11" s="30">
        <v>2</v>
      </c>
      <c r="D11" s="313"/>
      <c r="E11" s="24" t="s">
        <v>956</v>
      </c>
    </row>
    <row r="12" spans="1:5" x14ac:dyDescent="0.35">
      <c r="A12" s="5">
        <v>46204</v>
      </c>
      <c r="B12" s="3" t="s">
        <v>845</v>
      </c>
      <c r="C12" s="30">
        <v>1</v>
      </c>
      <c r="D12" s="313"/>
      <c r="E12" s="24" t="s">
        <v>957</v>
      </c>
    </row>
    <row r="13" spans="1:5" x14ac:dyDescent="0.35">
      <c r="A13" s="5">
        <v>46204</v>
      </c>
      <c r="B13" s="3" t="s">
        <v>958</v>
      </c>
      <c r="C13" s="30">
        <v>1</v>
      </c>
      <c r="D13" s="313"/>
      <c r="E13" s="24"/>
    </row>
    <row r="14" spans="1:5" x14ac:dyDescent="0.35">
      <c r="A14" s="5">
        <v>46204</v>
      </c>
      <c r="B14" s="3" t="s">
        <v>959</v>
      </c>
      <c r="C14" s="30" t="s">
        <v>960</v>
      </c>
      <c r="D14" s="313"/>
      <c r="E14" s="24"/>
    </row>
    <row r="15" spans="1:5" x14ac:dyDescent="0.35">
      <c r="A15" s="9"/>
      <c r="B15" s="3"/>
      <c r="C15" s="23"/>
      <c r="D15" s="28"/>
      <c r="E15" s="24"/>
    </row>
    <row r="16" spans="1:5" x14ac:dyDescent="0.35">
      <c r="A16" s="5">
        <v>46205</v>
      </c>
      <c r="B16" s="3" t="s">
        <v>81</v>
      </c>
      <c r="C16" s="28">
        <v>0.5</v>
      </c>
      <c r="D16" s="410">
        <v>9.5</v>
      </c>
      <c r="E16" s="3"/>
    </row>
    <row r="17" spans="1:5" x14ac:dyDescent="0.35">
      <c r="A17" s="5">
        <v>46205</v>
      </c>
      <c r="B17" s="29" t="s">
        <v>7</v>
      </c>
      <c r="C17" s="28">
        <v>6</v>
      </c>
      <c r="D17" s="411"/>
      <c r="E17" s="3" t="s">
        <v>961</v>
      </c>
    </row>
    <row r="18" spans="1:5" x14ac:dyDescent="0.35">
      <c r="A18" s="5">
        <v>46205</v>
      </c>
      <c r="B18" s="3" t="s">
        <v>962</v>
      </c>
      <c r="C18" s="4">
        <v>2.5</v>
      </c>
      <c r="D18" s="412"/>
      <c r="E18" s="3"/>
    </row>
    <row r="19" spans="1:5" x14ac:dyDescent="0.35">
      <c r="A19" s="5">
        <v>46205</v>
      </c>
      <c r="B19" s="3" t="s">
        <v>963</v>
      </c>
      <c r="C19" s="4">
        <v>0.5</v>
      </c>
      <c r="D19" s="4"/>
      <c r="E19" s="3"/>
    </row>
    <row r="20" spans="1:5" x14ac:dyDescent="0.35">
      <c r="A20" s="3"/>
      <c r="B20" s="3"/>
      <c r="C20" s="4"/>
      <c r="D20" s="4"/>
      <c r="E20" s="3"/>
    </row>
    <row r="21" spans="1:5" x14ac:dyDescent="0.35">
      <c r="A21" s="90">
        <v>46206</v>
      </c>
      <c r="B21" s="3" t="s">
        <v>81</v>
      </c>
      <c r="C21" s="4">
        <v>0.5</v>
      </c>
      <c r="D21" s="301">
        <v>9</v>
      </c>
      <c r="E21" s="3" t="s">
        <v>964</v>
      </c>
    </row>
    <row r="22" spans="1:5" x14ac:dyDescent="0.35">
      <c r="A22" s="90">
        <v>46206</v>
      </c>
      <c r="B22" s="3" t="s">
        <v>735</v>
      </c>
      <c r="C22" s="4">
        <v>1.75</v>
      </c>
      <c r="D22" s="302"/>
      <c r="E22" s="3" t="s">
        <v>965</v>
      </c>
    </row>
    <row r="23" spans="1:5" x14ac:dyDescent="0.35">
      <c r="A23" s="90">
        <v>46206</v>
      </c>
      <c r="B23" s="3" t="s">
        <v>546</v>
      </c>
      <c r="C23" s="4">
        <v>2</v>
      </c>
      <c r="D23" s="302"/>
      <c r="E23" s="3" t="s">
        <v>966</v>
      </c>
    </row>
    <row r="24" spans="1:5" x14ac:dyDescent="0.35">
      <c r="A24" s="90">
        <v>46206</v>
      </c>
      <c r="B24" s="3" t="s">
        <v>738</v>
      </c>
      <c r="C24" s="4">
        <v>3.5</v>
      </c>
      <c r="D24" s="302"/>
      <c r="E24" s="3" t="s">
        <v>967</v>
      </c>
    </row>
    <row r="25" spans="1:5" x14ac:dyDescent="0.35">
      <c r="A25" s="90">
        <v>46206</v>
      </c>
      <c r="B25" s="3" t="s">
        <v>552</v>
      </c>
      <c r="C25" s="4">
        <v>0.75</v>
      </c>
      <c r="D25" s="303"/>
      <c r="E25" s="102" t="s">
        <v>367</v>
      </c>
    </row>
    <row r="26" spans="1:5" x14ac:dyDescent="0.35">
      <c r="A26" s="90">
        <v>46206</v>
      </c>
      <c r="B26" s="3" t="s">
        <v>963</v>
      </c>
      <c r="C26" s="3">
        <v>0.5</v>
      </c>
      <c r="D26" s="3"/>
      <c r="E26" s="3" t="s">
        <v>968</v>
      </c>
    </row>
    <row r="28" spans="1:5" x14ac:dyDescent="0.35">
      <c r="A28" s="129">
        <v>46209</v>
      </c>
      <c r="B28" s="42" t="s">
        <v>81</v>
      </c>
      <c r="C28" s="28">
        <v>0.5</v>
      </c>
      <c r="D28" s="413">
        <v>9.1</v>
      </c>
      <c r="E28" s="42" t="s">
        <v>964</v>
      </c>
    </row>
    <row r="29" spans="1:5" ht="29" x14ac:dyDescent="0.35">
      <c r="A29" s="129">
        <v>46209</v>
      </c>
      <c r="B29" s="99" t="s">
        <v>969</v>
      </c>
      <c r="C29" s="130">
        <v>0.23958333333333334</v>
      </c>
      <c r="D29" s="414"/>
      <c r="E29" s="42" t="s">
        <v>970</v>
      </c>
    </row>
    <row r="30" spans="1:5" x14ac:dyDescent="0.35">
      <c r="A30" s="129">
        <v>46209</v>
      </c>
      <c r="B30" s="42" t="s">
        <v>971</v>
      </c>
      <c r="C30" s="42">
        <v>20</v>
      </c>
      <c r="D30" s="414"/>
      <c r="E30" s="42" t="s">
        <v>972</v>
      </c>
    </row>
    <row r="31" spans="1:5" x14ac:dyDescent="0.35">
      <c r="A31" s="129">
        <v>46209</v>
      </c>
      <c r="B31" s="42" t="s">
        <v>546</v>
      </c>
      <c r="C31" s="42">
        <v>1</v>
      </c>
      <c r="D31" s="414"/>
      <c r="E31" s="42" t="s">
        <v>973</v>
      </c>
    </row>
    <row r="32" spans="1:5" x14ac:dyDescent="0.35">
      <c r="A32" s="129">
        <v>46209</v>
      </c>
      <c r="B32" s="42" t="s">
        <v>974</v>
      </c>
      <c r="C32" s="42">
        <v>30</v>
      </c>
      <c r="D32" s="414"/>
      <c r="E32" s="42" t="s">
        <v>975</v>
      </c>
    </row>
    <row r="33" spans="1:5" ht="29" x14ac:dyDescent="0.35">
      <c r="A33" s="129">
        <v>46209</v>
      </c>
      <c r="B33" s="108" t="s">
        <v>976</v>
      </c>
      <c r="C33" s="42">
        <v>30</v>
      </c>
      <c r="D33" s="414"/>
      <c r="E33" s="42"/>
    </row>
    <row r="34" spans="1:5" x14ac:dyDescent="0.35">
      <c r="A34" s="129">
        <v>46209</v>
      </c>
      <c r="B34" s="42" t="s">
        <v>963</v>
      </c>
      <c r="C34" s="42">
        <v>30</v>
      </c>
      <c r="D34" s="415"/>
      <c r="E34" s="3" t="s">
        <v>968</v>
      </c>
    </row>
    <row r="36" spans="1:5" x14ac:dyDescent="0.35">
      <c r="A36" s="129">
        <v>46210</v>
      </c>
      <c r="B36" s="42" t="s">
        <v>81</v>
      </c>
      <c r="C36" s="42">
        <v>0.5</v>
      </c>
      <c r="D36" s="321">
        <v>9</v>
      </c>
      <c r="E36" s="42" t="s">
        <v>964</v>
      </c>
    </row>
    <row r="37" spans="1:5" x14ac:dyDescent="0.35">
      <c r="A37" s="129">
        <v>46210</v>
      </c>
      <c r="B37" s="42" t="s">
        <v>977</v>
      </c>
      <c r="C37" s="42">
        <v>2</v>
      </c>
      <c r="D37" s="321"/>
      <c r="E37" s="42" t="s">
        <v>978</v>
      </c>
    </row>
    <row r="38" spans="1:5" x14ac:dyDescent="0.35">
      <c r="A38" s="129">
        <v>46210</v>
      </c>
      <c r="B38" s="42" t="s">
        <v>979</v>
      </c>
      <c r="C38" s="42">
        <v>30</v>
      </c>
      <c r="D38" s="321"/>
      <c r="E38" s="42" t="s">
        <v>980</v>
      </c>
    </row>
    <row r="39" spans="1:5" x14ac:dyDescent="0.35">
      <c r="A39" s="129">
        <v>46210</v>
      </c>
      <c r="B39" s="42" t="s">
        <v>981</v>
      </c>
      <c r="C39" s="42">
        <v>1</v>
      </c>
      <c r="D39" s="321"/>
      <c r="E39" s="42" t="s">
        <v>982</v>
      </c>
    </row>
    <row r="40" spans="1:5" x14ac:dyDescent="0.35">
      <c r="A40" s="129">
        <v>46210</v>
      </c>
      <c r="B40" s="42" t="s">
        <v>983</v>
      </c>
      <c r="C40" s="42">
        <v>3</v>
      </c>
      <c r="D40" s="321"/>
      <c r="E40" s="42" t="s">
        <v>984</v>
      </c>
    </row>
    <row r="41" spans="1:5" x14ac:dyDescent="0.35">
      <c r="A41" s="129">
        <v>46210</v>
      </c>
      <c r="B41" s="42" t="s">
        <v>985</v>
      </c>
      <c r="C41" s="42">
        <v>10</v>
      </c>
      <c r="D41" s="321"/>
      <c r="E41" s="42"/>
    </row>
    <row r="42" spans="1:5" x14ac:dyDescent="0.35">
      <c r="A42" s="129">
        <v>46210</v>
      </c>
      <c r="B42" s="42" t="s">
        <v>986</v>
      </c>
      <c r="C42" s="42">
        <v>30</v>
      </c>
      <c r="D42" s="321"/>
      <c r="E42" s="42" t="s">
        <v>987</v>
      </c>
    </row>
    <row r="43" spans="1:5" x14ac:dyDescent="0.35">
      <c r="A43" s="129">
        <v>46210</v>
      </c>
      <c r="B43" s="42" t="s">
        <v>963</v>
      </c>
      <c r="C43" s="42">
        <v>0.5</v>
      </c>
      <c r="D43" s="321"/>
      <c r="E43" s="42" t="s">
        <v>968</v>
      </c>
    </row>
    <row r="44" spans="1:5" x14ac:dyDescent="0.35">
      <c r="A44" s="129">
        <v>46210</v>
      </c>
      <c r="B44" s="42" t="s">
        <v>988</v>
      </c>
      <c r="C44" s="42" t="s">
        <v>989</v>
      </c>
      <c r="D44" s="321"/>
      <c r="E44" s="42"/>
    </row>
    <row r="46" spans="1:5" x14ac:dyDescent="0.35">
      <c r="A46" s="129">
        <v>46211</v>
      </c>
      <c r="B46" s="45" t="s">
        <v>8</v>
      </c>
      <c r="C46" s="42">
        <v>1</v>
      </c>
      <c r="D46" s="321">
        <v>9</v>
      </c>
      <c r="E46" s="42" t="s">
        <v>614</v>
      </c>
    </row>
    <row r="47" spans="1:5" x14ac:dyDescent="0.35">
      <c r="A47" s="129">
        <v>46211</v>
      </c>
      <c r="B47" s="42" t="s">
        <v>990</v>
      </c>
      <c r="C47" s="42">
        <v>1</v>
      </c>
      <c r="D47" s="321"/>
      <c r="E47" s="42" t="s">
        <v>991</v>
      </c>
    </row>
    <row r="48" spans="1:5" x14ac:dyDescent="0.35">
      <c r="A48" s="129">
        <v>46211</v>
      </c>
      <c r="B48" s="42" t="s">
        <v>883</v>
      </c>
      <c r="C48" s="42">
        <v>0.5</v>
      </c>
      <c r="D48" s="321"/>
      <c r="E48" s="42" t="s">
        <v>992</v>
      </c>
    </row>
    <row r="49" spans="1:5" x14ac:dyDescent="0.35">
      <c r="A49" s="129">
        <v>46211</v>
      </c>
      <c r="B49" s="42" t="s">
        <v>993</v>
      </c>
      <c r="C49" s="42">
        <v>4.5</v>
      </c>
      <c r="D49" s="321"/>
      <c r="E49" s="42" t="s">
        <v>880</v>
      </c>
    </row>
    <row r="50" spans="1:5" x14ac:dyDescent="0.35">
      <c r="A50" s="129">
        <v>46211</v>
      </c>
      <c r="B50" s="42" t="s">
        <v>122</v>
      </c>
      <c r="C50" s="42">
        <v>1.5</v>
      </c>
      <c r="D50" s="321"/>
      <c r="E50" s="42"/>
    </row>
    <row r="51" spans="1:5" x14ac:dyDescent="0.35">
      <c r="A51" s="129">
        <v>46211</v>
      </c>
      <c r="B51" s="42" t="s">
        <v>994</v>
      </c>
      <c r="C51" s="42" t="s">
        <v>252</v>
      </c>
      <c r="D51" s="321"/>
      <c r="E51" s="42"/>
    </row>
    <row r="53" spans="1:5" x14ac:dyDescent="0.35">
      <c r="A53" s="129">
        <v>46212</v>
      </c>
      <c r="B53" s="45" t="s">
        <v>8</v>
      </c>
      <c r="C53" s="42">
        <v>1</v>
      </c>
      <c r="D53" s="321">
        <v>9</v>
      </c>
      <c r="E53" s="42" t="s">
        <v>614</v>
      </c>
    </row>
    <row r="54" spans="1:5" x14ac:dyDescent="0.35">
      <c r="A54" s="129">
        <v>46212</v>
      </c>
      <c r="B54" s="42" t="s">
        <v>886</v>
      </c>
      <c r="C54" s="42">
        <v>0.5</v>
      </c>
      <c r="D54" s="321"/>
      <c r="E54" s="42" t="s">
        <v>887</v>
      </c>
    </row>
    <row r="55" spans="1:5" x14ac:dyDescent="0.35">
      <c r="A55" s="129">
        <v>46212</v>
      </c>
      <c r="B55" s="42" t="s">
        <v>993</v>
      </c>
      <c r="C55" s="42">
        <v>1.5</v>
      </c>
      <c r="D55" s="321"/>
      <c r="E55" s="42" t="s">
        <v>995</v>
      </c>
    </row>
    <row r="56" spans="1:5" ht="29" x14ac:dyDescent="0.35">
      <c r="A56" s="129">
        <v>46212</v>
      </c>
      <c r="B56" s="45" t="s">
        <v>649</v>
      </c>
      <c r="C56" s="42">
        <v>5</v>
      </c>
      <c r="D56" s="321"/>
      <c r="E56" s="108" t="s">
        <v>996</v>
      </c>
    </row>
    <row r="57" spans="1:5" x14ac:dyDescent="0.35">
      <c r="A57" s="129">
        <v>46212</v>
      </c>
      <c r="B57" s="158" t="s">
        <v>654</v>
      </c>
      <c r="C57" s="42">
        <v>1</v>
      </c>
      <c r="D57" s="321"/>
      <c r="E57" s="42" t="s">
        <v>997</v>
      </c>
    </row>
    <row r="59" spans="1:5" ht="14.5" customHeight="1" x14ac:dyDescent="0.35">
      <c r="A59" s="129">
        <v>46213</v>
      </c>
      <c r="B59" s="45" t="s">
        <v>8</v>
      </c>
      <c r="C59" s="42">
        <v>1</v>
      </c>
      <c r="D59" s="321">
        <v>9.1</v>
      </c>
      <c r="E59" s="42" t="s">
        <v>614</v>
      </c>
    </row>
    <row r="60" spans="1:5" ht="14.5" customHeight="1" x14ac:dyDescent="0.35">
      <c r="A60" s="129">
        <v>46213</v>
      </c>
      <c r="B60" s="42" t="s">
        <v>900</v>
      </c>
      <c r="C60" s="42">
        <v>0.5</v>
      </c>
      <c r="D60" s="321"/>
      <c r="E60" s="42" t="s">
        <v>901</v>
      </c>
    </row>
    <row r="61" spans="1:5" ht="14.5" customHeight="1" x14ac:dyDescent="0.35">
      <c r="A61" s="129">
        <v>46213</v>
      </c>
      <c r="B61" s="42" t="s">
        <v>902</v>
      </c>
      <c r="C61" s="42">
        <v>1</v>
      </c>
      <c r="D61" s="321"/>
      <c r="E61" s="42" t="s">
        <v>903</v>
      </c>
    </row>
    <row r="62" spans="1:5" ht="14.5" customHeight="1" x14ac:dyDescent="0.35">
      <c r="A62" s="129">
        <v>46213</v>
      </c>
      <c r="B62" s="42" t="s">
        <v>904</v>
      </c>
      <c r="C62" s="42">
        <v>1</v>
      </c>
      <c r="D62" s="321"/>
      <c r="E62" s="42" t="s">
        <v>998</v>
      </c>
    </row>
    <row r="63" spans="1:5" ht="14.5" customHeight="1" x14ac:dyDescent="0.35">
      <c r="A63" s="129">
        <v>46213</v>
      </c>
      <c r="B63" s="211" t="s">
        <v>999</v>
      </c>
      <c r="C63" s="42">
        <v>10</v>
      </c>
      <c r="D63" s="321"/>
      <c r="E63" s="42"/>
    </row>
    <row r="64" spans="1:5" ht="14.5" customHeight="1" x14ac:dyDescent="0.35">
      <c r="A64" s="129">
        <v>46213</v>
      </c>
      <c r="B64" s="42" t="s">
        <v>1000</v>
      </c>
      <c r="C64" s="42">
        <v>4.5</v>
      </c>
      <c r="D64" s="321"/>
      <c r="E64" s="42" t="s">
        <v>1001</v>
      </c>
    </row>
    <row r="65" spans="1:5" ht="14.5" customHeight="1" x14ac:dyDescent="0.35">
      <c r="A65" s="129">
        <v>46213</v>
      </c>
      <c r="B65" s="42" t="s">
        <v>1002</v>
      </c>
      <c r="C65" s="42">
        <v>1</v>
      </c>
      <c r="D65" s="321"/>
      <c r="E65" s="42" t="s">
        <v>1003</v>
      </c>
    </row>
    <row r="67" spans="1:5" ht="14.5" customHeight="1" x14ac:dyDescent="0.35">
      <c r="A67" s="129">
        <v>46216</v>
      </c>
      <c r="B67" s="45" t="s">
        <v>8</v>
      </c>
      <c r="C67" s="42">
        <v>1</v>
      </c>
      <c r="D67" s="407">
        <v>9.15</v>
      </c>
      <c r="E67" s="42" t="s">
        <v>614</v>
      </c>
    </row>
    <row r="68" spans="1:5" ht="14.5" customHeight="1" x14ac:dyDescent="0.35">
      <c r="A68" s="129">
        <v>46216</v>
      </c>
      <c r="B68" s="42" t="s">
        <v>1004</v>
      </c>
      <c r="C68" s="42">
        <v>1</v>
      </c>
      <c r="D68" s="408"/>
      <c r="E68" s="42" t="s">
        <v>1005</v>
      </c>
    </row>
    <row r="69" spans="1:5" x14ac:dyDescent="0.35">
      <c r="A69" s="129">
        <v>46216</v>
      </c>
      <c r="B69" s="42" t="s">
        <v>1000</v>
      </c>
      <c r="C69" s="42">
        <v>1.5</v>
      </c>
      <c r="D69" s="408"/>
      <c r="E69" s="42" t="s">
        <v>1006</v>
      </c>
    </row>
    <row r="70" spans="1:5" ht="14.5" customHeight="1" x14ac:dyDescent="0.35">
      <c r="A70" s="129">
        <v>46216</v>
      </c>
      <c r="B70" s="42" t="s">
        <v>1007</v>
      </c>
      <c r="C70" s="42">
        <v>3</v>
      </c>
      <c r="D70" s="408"/>
      <c r="E70" s="42" t="s">
        <v>1008</v>
      </c>
    </row>
    <row r="71" spans="1:5" ht="14.5" customHeight="1" x14ac:dyDescent="0.35">
      <c r="A71" s="129">
        <v>46216</v>
      </c>
      <c r="B71" s="42" t="s">
        <v>1009</v>
      </c>
      <c r="C71" s="42">
        <v>45</v>
      </c>
      <c r="D71" s="408"/>
      <c r="E71" s="42" t="s">
        <v>1010</v>
      </c>
    </row>
    <row r="72" spans="1:5" ht="14.5" customHeight="1" x14ac:dyDescent="0.35">
      <c r="A72" s="129">
        <v>46216</v>
      </c>
      <c r="B72" s="42" t="s">
        <v>983</v>
      </c>
      <c r="C72" s="42">
        <v>1</v>
      </c>
      <c r="D72" s="408"/>
      <c r="E72" s="42" t="s">
        <v>1011</v>
      </c>
    </row>
    <row r="73" spans="1:5" ht="29" x14ac:dyDescent="0.35">
      <c r="A73" s="129">
        <v>46216</v>
      </c>
      <c r="B73" s="99" t="s">
        <v>1012</v>
      </c>
      <c r="C73" s="42">
        <v>1</v>
      </c>
      <c r="D73" s="409"/>
      <c r="E73" s="42" t="s">
        <v>1013</v>
      </c>
    </row>
    <row r="75" spans="1:5" x14ac:dyDescent="0.35">
      <c r="A75" s="129">
        <v>46217</v>
      </c>
      <c r="B75" s="45" t="s">
        <v>8</v>
      </c>
      <c r="C75" s="42">
        <v>1</v>
      </c>
      <c r="D75" s="407">
        <v>9</v>
      </c>
      <c r="E75" s="42" t="s">
        <v>614</v>
      </c>
    </row>
    <row r="76" spans="1:5" ht="29" x14ac:dyDescent="0.35">
      <c r="A76" s="129">
        <v>46217</v>
      </c>
      <c r="B76" s="99" t="s">
        <v>1012</v>
      </c>
      <c r="C76" s="42">
        <v>2</v>
      </c>
      <c r="D76" s="408"/>
      <c r="E76" s="42" t="s">
        <v>1013</v>
      </c>
    </row>
    <row r="77" spans="1:5" x14ac:dyDescent="0.35">
      <c r="A77" s="129">
        <v>46217</v>
      </c>
      <c r="B77" s="42" t="s">
        <v>983</v>
      </c>
      <c r="C77" s="42">
        <v>2</v>
      </c>
      <c r="D77" s="408"/>
      <c r="E77" s="42" t="s">
        <v>1014</v>
      </c>
    </row>
    <row r="78" spans="1:5" x14ac:dyDescent="0.35">
      <c r="A78" s="129">
        <v>46217</v>
      </c>
      <c r="B78" t="s">
        <v>1015</v>
      </c>
      <c r="C78" s="42">
        <v>30</v>
      </c>
      <c r="D78" s="408"/>
      <c r="E78" s="42"/>
    </row>
    <row r="79" spans="1:5" x14ac:dyDescent="0.35">
      <c r="A79" s="129">
        <v>46217</v>
      </c>
      <c r="B79" s="211" t="s">
        <v>999</v>
      </c>
      <c r="C79" s="42">
        <v>10</v>
      </c>
      <c r="D79" s="408"/>
      <c r="E79" s="42" t="s">
        <v>1016</v>
      </c>
    </row>
    <row r="80" spans="1:5" x14ac:dyDescent="0.35">
      <c r="A80" s="129">
        <v>46217</v>
      </c>
      <c r="B80" s="42" t="s">
        <v>983</v>
      </c>
      <c r="C80" s="42">
        <v>2.2000000000000002</v>
      </c>
      <c r="D80" s="408"/>
      <c r="E80" s="42" t="s">
        <v>1017</v>
      </c>
    </row>
    <row r="81" spans="1:5" x14ac:dyDescent="0.35">
      <c r="A81" s="129">
        <v>46217</v>
      </c>
      <c r="B81" s="99" t="s">
        <v>1018</v>
      </c>
      <c r="C81" s="42">
        <v>1</v>
      </c>
      <c r="D81" s="409"/>
      <c r="E81" s="108" t="s">
        <v>1019</v>
      </c>
    </row>
    <row r="83" spans="1:5" x14ac:dyDescent="0.35">
      <c r="A83" s="129">
        <v>46218</v>
      </c>
      <c r="B83" s="45" t="s">
        <v>8</v>
      </c>
      <c r="C83" s="42">
        <v>0.5</v>
      </c>
      <c r="D83" s="321">
        <v>9</v>
      </c>
      <c r="E83" s="42" t="s">
        <v>1020</v>
      </c>
    </row>
    <row r="84" spans="1:5" x14ac:dyDescent="0.35">
      <c r="A84" s="129">
        <v>46218</v>
      </c>
      <c r="B84" s="42" t="s">
        <v>1021</v>
      </c>
      <c r="C84" s="42">
        <v>4</v>
      </c>
      <c r="D84" s="321"/>
      <c r="E84" t="s">
        <v>923</v>
      </c>
    </row>
    <row r="85" spans="1:5" x14ac:dyDescent="0.35">
      <c r="A85" s="129">
        <v>46218</v>
      </c>
      <c r="B85" s="42" t="s">
        <v>535</v>
      </c>
      <c r="C85" s="42">
        <v>4</v>
      </c>
      <c r="D85" s="321"/>
      <c r="E85" s="24" t="s">
        <v>1022</v>
      </c>
    </row>
    <row r="86" spans="1:5" x14ac:dyDescent="0.35">
      <c r="A86" s="129">
        <v>46218</v>
      </c>
      <c r="B86" s="45" t="s">
        <v>8</v>
      </c>
      <c r="C86" s="42">
        <v>0.5</v>
      </c>
      <c r="D86" s="321"/>
      <c r="E86" s="42" t="s">
        <v>1023</v>
      </c>
    </row>
    <row r="88" spans="1:5" x14ac:dyDescent="0.35">
      <c r="A88" s="129">
        <v>46219</v>
      </c>
      <c r="B88" s="45" t="s">
        <v>8</v>
      </c>
      <c r="C88" s="42">
        <v>1</v>
      </c>
      <c r="D88" s="407">
        <v>9</v>
      </c>
      <c r="E88" s="42" t="s">
        <v>1020</v>
      </c>
    </row>
    <row r="89" spans="1:5" x14ac:dyDescent="0.35">
      <c r="A89" s="129">
        <v>46219</v>
      </c>
      <c r="B89" s="45" t="s">
        <v>900</v>
      </c>
      <c r="C89" s="42">
        <v>30</v>
      </c>
      <c r="D89" s="408"/>
      <c r="E89" s="42"/>
    </row>
    <row r="90" spans="1:5" x14ac:dyDescent="0.35">
      <c r="A90" s="129">
        <v>46219</v>
      </c>
      <c r="B90" s="42" t="s">
        <v>1024</v>
      </c>
      <c r="C90" s="42">
        <v>1.5</v>
      </c>
      <c r="D90" s="408"/>
      <c r="E90" s="42"/>
    </row>
    <row r="91" spans="1:5" x14ac:dyDescent="0.35">
      <c r="A91" s="129">
        <v>46219</v>
      </c>
      <c r="B91" s="42" t="s">
        <v>1000</v>
      </c>
      <c r="C91" s="42">
        <v>3</v>
      </c>
      <c r="D91" s="408"/>
      <c r="E91" s="42"/>
    </row>
    <row r="92" spans="1:5" x14ac:dyDescent="0.35">
      <c r="A92" s="129">
        <v>46219</v>
      </c>
      <c r="B92" s="42" t="s">
        <v>1025</v>
      </c>
      <c r="C92" s="42">
        <v>2</v>
      </c>
      <c r="D92" s="408"/>
      <c r="E92" s="42"/>
    </row>
    <row r="93" spans="1:5" x14ac:dyDescent="0.35">
      <c r="A93" s="129">
        <v>46219</v>
      </c>
      <c r="B93" s="42" t="s">
        <v>1026</v>
      </c>
      <c r="C93" s="42">
        <v>1</v>
      </c>
      <c r="D93" s="409"/>
      <c r="E93" s="42"/>
    </row>
    <row r="95" spans="1:5" x14ac:dyDescent="0.35">
      <c r="A95" s="129">
        <v>46220</v>
      </c>
      <c r="B95" s="45" t="s">
        <v>8</v>
      </c>
      <c r="C95" s="42">
        <v>1</v>
      </c>
      <c r="D95" s="321">
        <v>9</v>
      </c>
      <c r="E95" s="42" t="s">
        <v>1020</v>
      </c>
    </row>
    <row r="96" spans="1:5" x14ac:dyDescent="0.35">
      <c r="A96" s="129">
        <v>46220</v>
      </c>
      <c r="B96" s="42" t="s">
        <v>983</v>
      </c>
      <c r="C96" s="42">
        <v>5</v>
      </c>
      <c r="D96" s="321"/>
      <c r="E96" s="42"/>
    </row>
    <row r="97" spans="1:5" x14ac:dyDescent="0.35">
      <c r="A97" s="129">
        <v>46220</v>
      </c>
      <c r="B97" s="42" t="s">
        <v>883</v>
      </c>
      <c r="C97" s="42">
        <v>0.5</v>
      </c>
      <c r="D97" s="321"/>
      <c r="E97" s="42"/>
    </row>
    <row r="98" spans="1:5" x14ac:dyDescent="0.35">
      <c r="A98" s="129">
        <v>46220</v>
      </c>
      <c r="B98" s="42" t="s">
        <v>1027</v>
      </c>
      <c r="C98" s="42">
        <v>2</v>
      </c>
      <c r="D98" s="321"/>
      <c r="E98" s="42"/>
    </row>
    <row r="99" spans="1:5" x14ac:dyDescent="0.35">
      <c r="A99" s="129">
        <v>46220</v>
      </c>
      <c r="B99" s="42" t="s">
        <v>937</v>
      </c>
      <c r="C99" s="42">
        <v>30</v>
      </c>
      <c r="D99" s="321"/>
      <c r="E99" s="42" t="s">
        <v>938</v>
      </c>
    </row>
    <row r="101" spans="1:5" x14ac:dyDescent="0.35">
      <c r="A101" s="223">
        <v>46223</v>
      </c>
      <c r="B101" s="45" t="s">
        <v>8</v>
      </c>
      <c r="C101" s="42">
        <v>1</v>
      </c>
      <c r="D101" s="407">
        <v>9</v>
      </c>
      <c r="E101" s="42" t="s">
        <v>1020</v>
      </c>
    </row>
    <row r="102" spans="1:5" x14ac:dyDescent="0.35">
      <c r="A102" s="223">
        <v>46223</v>
      </c>
      <c r="B102" s="42" t="s">
        <v>1028</v>
      </c>
      <c r="C102" s="42">
        <v>4</v>
      </c>
      <c r="D102" s="408"/>
      <c r="E102" s="42"/>
    </row>
    <row r="103" spans="1:5" x14ac:dyDescent="0.35">
      <c r="A103" s="223">
        <v>46223</v>
      </c>
      <c r="B103" t="s">
        <v>692</v>
      </c>
      <c r="C103" s="42">
        <v>1</v>
      </c>
      <c r="D103" s="408"/>
      <c r="E103" s="42"/>
    </row>
    <row r="104" spans="1:5" x14ac:dyDescent="0.35">
      <c r="A104" s="223">
        <v>46223</v>
      </c>
      <c r="B104" s="42" t="s">
        <v>1027</v>
      </c>
      <c r="C104" s="42">
        <v>3</v>
      </c>
      <c r="D104" s="409"/>
      <c r="E104" s="42"/>
    </row>
    <row r="106" spans="1:5" x14ac:dyDescent="0.35">
      <c r="A106" s="129">
        <v>46224</v>
      </c>
      <c r="B106" s="45" t="s">
        <v>8</v>
      </c>
      <c r="C106" s="42">
        <v>1</v>
      </c>
      <c r="D106" s="321">
        <v>9</v>
      </c>
      <c r="E106" s="42" t="s">
        <v>1020</v>
      </c>
    </row>
    <row r="107" spans="1:5" x14ac:dyDescent="0.35">
      <c r="A107" s="129">
        <v>46224</v>
      </c>
      <c r="B107" s="45" t="s">
        <v>1029</v>
      </c>
      <c r="C107" s="42">
        <v>1</v>
      </c>
      <c r="D107" s="321"/>
      <c r="E107" s="42"/>
    </row>
    <row r="108" spans="1:5" x14ac:dyDescent="0.35">
      <c r="A108" s="129">
        <v>46224</v>
      </c>
      <c r="B108" s="42" t="s">
        <v>503</v>
      </c>
      <c r="C108" s="42">
        <v>3</v>
      </c>
      <c r="D108" s="321"/>
      <c r="E108" s="42"/>
    </row>
    <row r="109" spans="1:5" x14ac:dyDescent="0.35">
      <c r="A109" s="129">
        <v>46224</v>
      </c>
      <c r="B109" s="42" t="s">
        <v>1030</v>
      </c>
      <c r="C109" s="42">
        <v>2</v>
      </c>
      <c r="D109" s="321"/>
      <c r="E109" s="42"/>
    </row>
    <row r="110" spans="1:5" x14ac:dyDescent="0.35">
      <c r="A110" s="129">
        <v>46224</v>
      </c>
      <c r="B110" s="42" t="s">
        <v>501</v>
      </c>
      <c r="C110" s="42">
        <v>2</v>
      </c>
      <c r="D110" s="321"/>
      <c r="E110" s="42"/>
    </row>
    <row r="112" spans="1:5" x14ac:dyDescent="0.35">
      <c r="A112" s="129">
        <v>46225</v>
      </c>
      <c r="B112" s="45" t="s">
        <v>8</v>
      </c>
      <c r="C112" s="42">
        <v>1</v>
      </c>
      <c r="D112" s="407">
        <v>9</v>
      </c>
      <c r="E112" s="42" t="s">
        <v>1020</v>
      </c>
    </row>
    <row r="113" spans="1:5" x14ac:dyDescent="0.35">
      <c r="A113" s="129">
        <v>46225</v>
      </c>
      <c r="B113" s="42" t="s">
        <v>511</v>
      </c>
      <c r="C113" s="42">
        <v>6.5</v>
      </c>
      <c r="D113" s="408"/>
      <c r="E113" s="42" t="s">
        <v>1031</v>
      </c>
    </row>
    <row r="114" spans="1:5" x14ac:dyDescent="0.35">
      <c r="A114" s="129">
        <v>46225</v>
      </c>
      <c r="B114" s="42" t="s">
        <v>1032</v>
      </c>
      <c r="C114" s="42">
        <v>1.5</v>
      </c>
      <c r="D114" s="409"/>
      <c r="E114" s="42"/>
    </row>
    <row r="115" spans="1:5" x14ac:dyDescent="0.35">
      <c r="A115" s="129">
        <v>46225</v>
      </c>
      <c r="B115" s="254"/>
    </row>
    <row r="116" spans="1:5" x14ac:dyDescent="0.35">
      <c r="A116" s="223"/>
    </row>
    <row r="117" spans="1:5" x14ac:dyDescent="0.35">
      <c r="A117" s="223">
        <v>46226</v>
      </c>
      <c r="B117" s="45" t="s">
        <v>8</v>
      </c>
      <c r="C117">
        <v>1</v>
      </c>
      <c r="E117" s="42" t="s">
        <v>1020</v>
      </c>
    </row>
    <row r="118" spans="1:5" x14ac:dyDescent="0.35">
      <c r="A118" s="223">
        <v>46226</v>
      </c>
      <c r="B118" t="s">
        <v>1033</v>
      </c>
    </row>
  </sheetData>
  <mergeCells count="17">
    <mergeCell ref="D83:D86"/>
    <mergeCell ref="D88:D93"/>
    <mergeCell ref="D95:D99"/>
    <mergeCell ref="D101:D104"/>
    <mergeCell ref="D112:D114"/>
    <mergeCell ref="D106:D110"/>
    <mergeCell ref="D3:D5"/>
    <mergeCell ref="D9:D14"/>
    <mergeCell ref="D16:D18"/>
    <mergeCell ref="D21:D25"/>
    <mergeCell ref="D28:D34"/>
    <mergeCell ref="D75:D81"/>
    <mergeCell ref="D67:D73"/>
    <mergeCell ref="D59:D65"/>
    <mergeCell ref="D36:D44"/>
    <mergeCell ref="D46:D51"/>
    <mergeCell ref="D53:D57"/>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B426D-0CB7-4518-9500-3F729AEE2F2E}">
  <dimension ref="A1:E207"/>
  <sheetViews>
    <sheetView topLeftCell="A191" workbookViewId="0">
      <selection activeCell="E213" sqref="E213"/>
    </sheetView>
  </sheetViews>
  <sheetFormatPr defaultRowHeight="14.5" x14ac:dyDescent="0.35"/>
  <cols>
    <col min="1" max="1" width="11.54296875" customWidth="1"/>
    <col min="2" max="2" width="48.453125" customWidth="1"/>
    <col min="3" max="3" width="11.81640625" customWidth="1"/>
    <col min="4" max="4" width="16.26953125" customWidth="1"/>
    <col min="5" max="5" width="45" customWidth="1"/>
  </cols>
  <sheetData>
    <row r="1" spans="1:5" ht="29" x14ac:dyDescent="0.35">
      <c r="A1" s="1" t="s">
        <v>0</v>
      </c>
      <c r="B1" s="1" t="s">
        <v>1</v>
      </c>
      <c r="C1" s="2" t="s">
        <v>2</v>
      </c>
      <c r="D1" s="2" t="s">
        <v>3</v>
      </c>
      <c r="E1" s="1" t="s">
        <v>4</v>
      </c>
    </row>
    <row r="2" spans="1:5" x14ac:dyDescent="0.35">
      <c r="A2" s="10" t="s">
        <v>5</v>
      </c>
      <c r="B2" s="10"/>
      <c r="C2" s="11"/>
      <c r="D2" s="11"/>
      <c r="E2" s="10"/>
    </row>
    <row r="3" spans="1:5" x14ac:dyDescent="0.35">
      <c r="A3" s="5">
        <v>46204</v>
      </c>
      <c r="B3" s="6" t="s">
        <v>6</v>
      </c>
      <c r="C3" s="7">
        <v>2</v>
      </c>
      <c r="D3" s="298">
        <v>9</v>
      </c>
      <c r="E3" s="6"/>
    </row>
    <row r="4" spans="1:5" x14ac:dyDescent="0.35">
      <c r="A4" s="5">
        <v>46204</v>
      </c>
      <c r="B4" s="6" t="s">
        <v>7</v>
      </c>
      <c r="C4" s="7">
        <v>6</v>
      </c>
      <c r="D4" s="299"/>
      <c r="E4" s="6"/>
    </row>
    <row r="5" spans="1:5" x14ac:dyDescent="0.35">
      <c r="A5" s="5">
        <v>46204</v>
      </c>
      <c r="B5" s="6" t="s">
        <v>8</v>
      </c>
      <c r="C5" s="7">
        <v>1</v>
      </c>
      <c r="D5" s="300"/>
      <c r="E5" s="6"/>
    </row>
    <row r="6" spans="1:5" x14ac:dyDescent="0.35">
      <c r="A6" s="5">
        <v>46204</v>
      </c>
      <c r="B6" s="6"/>
      <c r="C6" s="7"/>
      <c r="D6" s="8"/>
      <c r="E6" s="6"/>
    </row>
    <row r="7" spans="1:5" x14ac:dyDescent="0.35">
      <c r="A7" s="12"/>
      <c r="B7" s="12"/>
      <c r="C7" s="13"/>
      <c r="D7" s="13"/>
      <c r="E7" s="12"/>
    </row>
    <row r="8" spans="1:5" x14ac:dyDescent="0.35">
      <c r="A8" s="9" t="s">
        <v>9</v>
      </c>
      <c r="B8" s="3"/>
      <c r="C8" s="4"/>
      <c r="D8" s="4"/>
      <c r="E8" s="3"/>
    </row>
    <row r="9" spans="1:5" x14ac:dyDescent="0.35">
      <c r="A9" s="5">
        <v>46204</v>
      </c>
      <c r="B9" s="6" t="s">
        <v>8</v>
      </c>
      <c r="C9" s="46">
        <v>1</v>
      </c>
      <c r="D9" s="298" t="s">
        <v>1034</v>
      </c>
      <c r="E9" s="3" t="s">
        <v>1035</v>
      </c>
    </row>
    <row r="10" spans="1:5" x14ac:dyDescent="0.35">
      <c r="A10" s="5">
        <v>46204</v>
      </c>
      <c r="B10" s="6" t="s">
        <v>1036</v>
      </c>
      <c r="C10" s="46">
        <v>3</v>
      </c>
      <c r="D10" s="299"/>
      <c r="E10" s="3" t="s">
        <v>1037</v>
      </c>
    </row>
    <row r="11" spans="1:5" x14ac:dyDescent="0.35">
      <c r="A11" s="5">
        <v>46204</v>
      </c>
      <c r="B11" s="6" t="s">
        <v>1038</v>
      </c>
      <c r="C11" s="46">
        <v>1</v>
      </c>
      <c r="D11" s="299"/>
      <c r="E11" s="3" t="s">
        <v>1039</v>
      </c>
    </row>
    <row r="12" spans="1:5" ht="29" x14ac:dyDescent="0.35">
      <c r="A12" s="5">
        <v>46204</v>
      </c>
      <c r="B12" s="36" t="s">
        <v>1040</v>
      </c>
      <c r="C12" s="46" t="s">
        <v>1041</v>
      </c>
      <c r="D12" s="299"/>
      <c r="E12" s="15" t="s">
        <v>1042</v>
      </c>
    </row>
    <row r="13" spans="1:5" x14ac:dyDescent="0.35">
      <c r="A13" s="5">
        <v>46204</v>
      </c>
      <c r="B13" s="36" t="s">
        <v>999</v>
      </c>
      <c r="C13" s="46" t="s">
        <v>1043</v>
      </c>
      <c r="D13" s="299"/>
      <c r="E13" s="15"/>
    </row>
    <row r="14" spans="1:5" x14ac:dyDescent="0.35">
      <c r="A14" s="5">
        <v>46204</v>
      </c>
      <c r="B14" s="6" t="s">
        <v>1044</v>
      </c>
      <c r="C14" s="46">
        <v>2</v>
      </c>
      <c r="D14" s="299"/>
      <c r="E14" s="3" t="s">
        <v>1045</v>
      </c>
    </row>
    <row r="15" spans="1:5" x14ac:dyDescent="0.35">
      <c r="A15" s="5">
        <v>46204</v>
      </c>
      <c r="B15" s="6" t="s">
        <v>1046</v>
      </c>
      <c r="C15" s="46" t="s">
        <v>1047</v>
      </c>
      <c r="D15" s="300"/>
      <c r="E15" s="3" t="s">
        <v>1048</v>
      </c>
    </row>
    <row r="16" spans="1:5" x14ac:dyDescent="0.35">
      <c r="A16" s="12"/>
      <c r="B16" s="12"/>
      <c r="C16" s="13"/>
      <c r="D16" s="13"/>
      <c r="E16" s="12"/>
    </row>
    <row r="17" spans="1:5" x14ac:dyDescent="0.35">
      <c r="A17" s="5">
        <v>46205</v>
      </c>
      <c r="B17" s="6" t="s">
        <v>8</v>
      </c>
      <c r="C17" s="46">
        <v>1</v>
      </c>
      <c r="D17" s="298" t="s">
        <v>1049</v>
      </c>
      <c r="E17" s="3" t="s">
        <v>1035</v>
      </c>
    </row>
    <row r="18" spans="1:5" x14ac:dyDescent="0.35">
      <c r="A18" s="5">
        <v>46205</v>
      </c>
      <c r="B18" s="6" t="s">
        <v>7</v>
      </c>
      <c r="C18" s="46">
        <v>7</v>
      </c>
      <c r="D18" s="299"/>
      <c r="E18" s="3" t="s">
        <v>1050</v>
      </c>
    </row>
    <row r="19" spans="1:5" x14ac:dyDescent="0.35">
      <c r="A19" s="5">
        <v>46205</v>
      </c>
      <c r="B19" s="6" t="s">
        <v>1051</v>
      </c>
      <c r="C19" s="89" t="s">
        <v>252</v>
      </c>
      <c r="D19" s="299"/>
      <c r="E19" s="3"/>
    </row>
    <row r="20" spans="1:5" ht="29" x14ac:dyDescent="0.35">
      <c r="A20" s="5">
        <v>46205</v>
      </c>
      <c r="B20" s="29" t="s">
        <v>1052</v>
      </c>
      <c r="C20" s="88">
        <v>1</v>
      </c>
      <c r="D20" s="420"/>
      <c r="E20" s="15" t="s">
        <v>1053</v>
      </c>
    </row>
    <row r="21" spans="1:5" x14ac:dyDescent="0.35">
      <c r="A21" s="12"/>
      <c r="B21" s="12"/>
      <c r="C21" s="13"/>
      <c r="D21" s="13"/>
      <c r="E21" s="12"/>
    </row>
    <row r="22" spans="1:5" x14ac:dyDescent="0.35">
      <c r="A22" s="5">
        <v>46206</v>
      </c>
      <c r="B22" s="6" t="s">
        <v>8</v>
      </c>
      <c r="C22" s="46">
        <v>1</v>
      </c>
      <c r="D22" s="421">
        <v>9</v>
      </c>
      <c r="E22" s="3" t="s">
        <v>1035</v>
      </c>
    </row>
    <row r="23" spans="1:5" x14ac:dyDescent="0.35">
      <c r="A23" s="5">
        <v>46206</v>
      </c>
      <c r="B23" s="6" t="s">
        <v>376</v>
      </c>
      <c r="C23" s="46">
        <v>2</v>
      </c>
      <c r="D23" s="422"/>
      <c r="E23" s="3" t="s">
        <v>1054</v>
      </c>
    </row>
    <row r="24" spans="1:5" ht="29" x14ac:dyDescent="0.35">
      <c r="A24" s="5">
        <v>46206</v>
      </c>
      <c r="B24" s="6" t="s">
        <v>1055</v>
      </c>
      <c r="C24" s="46" t="s">
        <v>252</v>
      </c>
      <c r="D24" s="422"/>
      <c r="E24" s="15" t="s">
        <v>1056</v>
      </c>
    </row>
    <row r="25" spans="1:5" ht="29" x14ac:dyDescent="0.35">
      <c r="A25" s="5">
        <v>46206</v>
      </c>
      <c r="B25" s="6" t="s">
        <v>1057</v>
      </c>
      <c r="C25" s="46" t="s">
        <v>252</v>
      </c>
      <c r="D25" s="422"/>
      <c r="E25" s="106" t="s">
        <v>1058</v>
      </c>
    </row>
    <row r="26" spans="1:5" ht="29" x14ac:dyDescent="0.35">
      <c r="A26" s="5">
        <v>46206</v>
      </c>
      <c r="B26" s="36" t="s">
        <v>969</v>
      </c>
      <c r="C26" s="107">
        <v>4.5</v>
      </c>
      <c r="D26" s="422"/>
      <c r="E26" s="108" t="s">
        <v>1059</v>
      </c>
    </row>
    <row r="27" spans="1:5" ht="29" x14ac:dyDescent="0.35">
      <c r="A27" s="5">
        <v>46206</v>
      </c>
      <c r="B27" s="6" t="s">
        <v>1060</v>
      </c>
      <c r="C27" s="107" t="s">
        <v>252</v>
      </c>
      <c r="D27" s="423"/>
      <c r="E27" s="108" t="s">
        <v>1061</v>
      </c>
    </row>
    <row r="28" spans="1:5" x14ac:dyDescent="0.35">
      <c r="A28" s="12"/>
      <c r="B28" s="12"/>
      <c r="C28" s="13"/>
      <c r="D28" s="13"/>
      <c r="E28" s="12"/>
    </row>
    <row r="29" spans="1:5" x14ac:dyDescent="0.35">
      <c r="A29" s="125">
        <v>46209</v>
      </c>
      <c r="B29" s="126" t="s">
        <v>8</v>
      </c>
      <c r="C29" s="88">
        <v>1</v>
      </c>
      <c r="D29" s="416" t="s">
        <v>1049</v>
      </c>
      <c r="E29" s="42" t="s">
        <v>1035</v>
      </c>
    </row>
    <row r="30" spans="1:5" ht="29" x14ac:dyDescent="0.35">
      <c r="A30" s="125">
        <v>46209</v>
      </c>
      <c r="B30" s="126" t="s">
        <v>1062</v>
      </c>
      <c r="C30" s="88" t="s">
        <v>252</v>
      </c>
      <c r="D30" s="417"/>
      <c r="E30" s="108" t="s">
        <v>1063</v>
      </c>
    </row>
    <row r="31" spans="1:5" ht="29" x14ac:dyDescent="0.35">
      <c r="A31" s="125">
        <v>46209</v>
      </c>
      <c r="B31" s="127" t="s">
        <v>969</v>
      </c>
      <c r="C31" s="128">
        <v>0.22916666666666666</v>
      </c>
      <c r="D31" s="417"/>
      <c r="E31" s="108" t="s">
        <v>1064</v>
      </c>
    </row>
    <row r="32" spans="1:5" ht="43.5" x14ac:dyDescent="0.35">
      <c r="A32" s="125">
        <v>46209</v>
      </c>
      <c r="B32" s="127" t="s">
        <v>1065</v>
      </c>
      <c r="C32" s="88" t="s">
        <v>252</v>
      </c>
      <c r="D32" s="417"/>
      <c r="E32" s="108" t="s">
        <v>1066</v>
      </c>
    </row>
    <row r="33" spans="1:5" ht="29" x14ac:dyDescent="0.35">
      <c r="A33" s="125">
        <v>46209</v>
      </c>
      <c r="B33" s="127" t="s">
        <v>1067</v>
      </c>
      <c r="C33" s="128">
        <v>6.25E-2</v>
      </c>
      <c r="D33" s="417"/>
      <c r="E33" s="108" t="s">
        <v>1068</v>
      </c>
    </row>
    <row r="34" spans="1:5" ht="29" x14ac:dyDescent="0.35">
      <c r="A34" s="125">
        <v>46209</v>
      </c>
      <c r="B34" s="127" t="s">
        <v>1069</v>
      </c>
      <c r="C34" s="153" t="s">
        <v>214</v>
      </c>
      <c r="D34" s="418"/>
      <c r="E34" s="108" t="s">
        <v>1070</v>
      </c>
    </row>
    <row r="35" spans="1:5" x14ac:dyDescent="0.35">
      <c r="A35" s="12"/>
      <c r="B35" s="12"/>
      <c r="C35" s="13"/>
      <c r="D35" s="13"/>
      <c r="E35" s="12"/>
    </row>
    <row r="36" spans="1:5" x14ac:dyDescent="0.35">
      <c r="A36" s="125">
        <v>46210</v>
      </c>
      <c r="B36" s="126" t="s">
        <v>8</v>
      </c>
      <c r="C36" s="159">
        <v>1</v>
      </c>
      <c r="D36" s="322" t="s">
        <v>1071</v>
      </c>
      <c r="E36" s="160" t="s">
        <v>1035</v>
      </c>
    </row>
    <row r="37" spans="1:5" ht="29" x14ac:dyDescent="0.35">
      <c r="A37" s="125">
        <v>46210</v>
      </c>
      <c r="B37" s="126" t="s">
        <v>1072</v>
      </c>
      <c r="C37" s="159">
        <v>1</v>
      </c>
      <c r="D37" s="322"/>
      <c r="E37" s="161" t="s">
        <v>1073</v>
      </c>
    </row>
    <row r="38" spans="1:5" x14ac:dyDescent="0.35">
      <c r="A38" s="125">
        <v>46210</v>
      </c>
      <c r="B38" s="126" t="s">
        <v>1074</v>
      </c>
      <c r="C38" s="159">
        <v>2</v>
      </c>
      <c r="D38" s="322"/>
      <c r="E38" s="160" t="s">
        <v>1075</v>
      </c>
    </row>
    <row r="39" spans="1:5" ht="29" x14ac:dyDescent="0.35">
      <c r="A39" s="125">
        <v>46210</v>
      </c>
      <c r="B39" s="126" t="s">
        <v>1076</v>
      </c>
      <c r="C39" s="159">
        <v>1</v>
      </c>
      <c r="D39" s="322"/>
      <c r="E39" s="161" t="s">
        <v>1077</v>
      </c>
    </row>
    <row r="40" spans="1:5" x14ac:dyDescent="0.35">
      <c r="A40" s="125">
        <v>46210</v>
      </c>
      <c r="B40" s="126" t="s">
        <v>1078</v>
      </c>
      <c r="C40" s="163" t="s">
        <v>1079</v>
      </c>
      <c r="D40" s="322"/>
      <c r="E40" s="161" t="s">
        <v>1080</v>
      </c>
    </row>
    <row r="41" spans="1:5" x14ac:dyDescent="0.35">
      <c r="A41" s="125">
        <v>46210</v>
      </c>
      <c r="B41" s="126" t="s">
        <v>1081</v>
      </c>
      <c r="C41" s="159" t="s">
        <v>214</v>
      </c>
      <c r="D41" s="322"/>
      <c r="E41" s="161" t="s">
        <v>1082</v>
      </c>
    </row>
    <row r="42" spans="1:5" x14ac:dyDescent="0.35">
      <c r="A42" s="125">
        <v>46210</v>
      </c>
      <c r="B42" s="126" t="s">
        <v>1083</v>
      </c>
      <c r="C42" s="159" t="s">
        <v>1084</v>
      </c>
      <c r="D42" s="322"/>
      <c r="E42" s="161" t="s">
        <v>1085</v>
      </c>
    </row>
    <row r="43" spans="1:5" ht="29" x14ac:dyDescent="0.35">
      <c r="A43" s="125">
        <v>46210</v>
      </c>
      <c r="B43" s="126" t="s">
        <v>1086</v>
      </c>
      <c r="C43" s="159" t="s">
        <v>252</v>
      </c>
      <c r="D43" s="322"/>
      <c r="E43" s="161" t="s">
        <v>1087</v>
      </c>
    </row>
    <row r="44" spans="1:5" x14ac:dyDescent="0.35">
      <c r="A44" s="12"/>
      <c r="B44" s="12"/>
      <c r="C44" s="13"/>
      <c r="D44" s="31"/>
      <c r="E44" s="43"/>
    </row>
    <row r="45" spans="1:5" x14ac:dyDescent="0.35">
      <c r="A45" s="125">
        <v>46211</v>
      </c>
      <c r="B45" s="126" t="s">
        <v>8</v>
      </c>
      <c r="C45" s="172">
        <v>1</v>
      </c>
      <c r="D45" s="416">
        <v>9</v>
      </c>
      <c r="E45" s="42" t="s">
        <v>1035</v>
      </c>
    </row>
    <row r="46" spans="1:5" ht="29" x14ac:dyDescent="0.35">
      <c r="A46" s="125">
        <v>46211</v>
      </c>
      <c r="B46" s="127" t="s">
        <v>1088</v>
      </c>
      <c r="C46" s="172">
        <v>2</v>
      </c>
      <c r="D46" s="417"/>
      <c r="E46" s="108" t="s">
        <v>1089</v>
      </c>
    </row>
    <row r="47" spans="1:5" x14ac:dyDescent="0.35">
      <c r="A47" s="125">
        <v>46211</v>
      </c>
      <c r="B47" s="126" t="s">
        <v>1090</v>
      </c>
      <c r="C47" s="172" t="s">
        <v>214</v>
      </c>
      <c r="D47" s="417"/>
      <c r="E47" s="42" t="s">
        <v>1091</v>
      </c>
    </row>
    <row r="48" spans="1:5" x14ac:dyDescent="0.35">
      <c r="A48" s="125">
        <v>46211</v>
      </c>
      <c r="B48" s="126" t="s">
        <v>1092</v>
      </c>
      <c r="C48" s="172" t="s">
        <v>214</v>
      </c>
      <c r="D48" s="417"/>
      <c r="E48" s="42" t="s">
        <v>1093</v>
      </c>
    </row>
    <row r="49" spans="1:5" ht="29" x14ac:dyDescent="0.35">
      <c r="A49" s="125">
        <v>46211</v>
      </c>
      <c r="B49" s="126" t="s">
        <v>981</v>
      </c>
      <c r="C49" s="172">
        <v>1</v>
      </c>
      <c r="D49" s="417"/>
      <c r="E49" s="108" t="s">
        <v>1094</v>
      </c>
    </row>
    <row r="50" spans="1:5" x14ac:dyDescent="0.35">
      <c r="A50" s="125">
        <v>46211</v>
      </c>
      <c r="B50" s="126" t="s">
        <v>654</v>
      </c>
      <c r="C50" s="172">
        <v>4</v>
      </c>
      <c r="D50" s="418"/>
      <c r="E50" s="42" t="s">
        <v>997</v>
      </c>
    </row>
    <row r="51" spans="1:5" x14ac:dyDescent="0.35">
      <c r="A51" s="12"/>
      <c r="B51" s="12"/>
      <c r="C51" s="13"/>
      <c r="D51" s="31"/>
      <c r="E51" s="43"/>
    </row>
    <row r="52" spans="1:5" ht="14.5" customHeight="1" x14ac:dyDescent="0.35">
      <c r="A52" s="125">
        <v>46212</v>
      </c>
      <c r="B52" s="126" t="s">
        <v>8</v>
      </c>
      <c r="C52" s="172">
        <v>1</v>
      </c>
      <c r="D52" s="416" t="s">
        <v>1095</v>
      </c>
      <c r="E52" s="42" t="s">
        <v>1035</v>
      </c>
    </row>
    <row r="53" spans="1:5" ht="29.15" customHeight="1" x14ac:dyDescent="0.35">
      <c r="A53" s="125">
        <v>46212</v>
      </c>
      <c r="B53" s="36" t="s">
        <v>1096</v>
      </c>
      <c r="C53" s="107" t="s">
        <v>1097</v>
      </c>
      <c r="D53" s="417"/>
      <c r="E53" s="42" t="s">
        <v>1098</v>
      </c>
    </row>
    <row r="54" spans="1:5" ht="29.15" customHeight="1" x14ac:dyDescent="0.35">
      <c r="A54" s="125">
        <v>46212</v>
      </c>
      <c r="B54" s="6" t="s">
        <v>649</v>
      </c>
      <c r="C54" s="198" t="s">
        <v>1099</v>
      </c>
      <c r="D54" s="417"/>
      <c r="E54" s="108" t="s">
        <v>1100</v>
      </c>
    </row>
    <row r="55" spans="1:5" ht="29.15" customHeight="1" x14ac:dyDescent="0.35">
      <c r="A55" s="125">
        <v>46212</v>
      </c>
      <c r="B55" s="6" t="s">
        <v>1101</v>
      </c>
      <c r="C55" s="107" t="s">
        <v>1102</v>
      </c>
      <c r="D55" s="417"/>
      <c r="E55" s="108" t="s">
        <v>1103</v>
      </c>
    </row>
    <row r="56" spans="1:5" ht="14.5" customHeight="1" x14ac:dyDescent="0.35">
      <c r="A56" s="125">
        <v>46212</v>
      </c>
      <c r="B56" s="6" t="s">
        <v>1104</v>
      </c>
      <c r="C56" s="107" t="s">
        <v>1105</v>
      </c>
      <c r="D56" s="417"/>
      <c r="E56" s="42" t="s">
        <v>1106</v>
      </c>
    </row>
    <row r="57" spans="1:5" ht="29.15" customHeight="1" x14ac:dyDescent="0.35">
      <c r="A57" s="125">
        <v>46212</v>
      </c>
      <c r="B57" s="6" t="s">
        <v>1107</v>
      </c>
      <c r="C57" s="107" t="s">
        <v>214</v>
      </c>
      <c r="D57" s="417"/>
      <c r="E57" s="108" t="s">
        <v>1108</v>
      </c>
    </row>
    <row r="58" spans="1:5" ht="14.5" customHeight="1" x14ac:dyDescent="0.35">
      <c r="A58" s="125">
        <v>46212</v>
      </c>
      <c r="B58" s="6" t="s">
        <v>654</v>
      </c>
      <c r="C58" s="107">
        <v>1</v>
      </c>
      <c r="D58" s="417"/>
      <c r="E58" s="42" t="s">
        <v>997</v>
      </c>
    </row>
    <row r="59" spans="1:5" ht="29.15" customHeight="1" x14ac:dyDescent="0.35">
      <c r="A59" s="125">
        <v>46212</v>
      </c>
      <c r="B59" s="36" t="s">
        <v>1109</v>
      </c>
      <c r="C59" s="107" t="s">
        <v>214</v>
      </c>
      <c r="D59" s="419"/>
      <c r="E59" s="108" t="s">
        <v>1110</v>
      </c>
    </row>
    <row r="60" spans="1:5" x14ac:dyDescent="0.35">
      <c r="A60" s="12"/>
      <c r="B60" s="12"/>
      <c r="C60" s="13"/>
      <c r="D60" s="31"/>
      <c r="E60" s="43"/>
    </row>
    <row r="61" spans="1:5" ht="14.5" customHeight="1" x14ac:dyDescent="0.35">
      <c r="A61" s="125">
        <v>46213</v>
      </c>
      <c r="B61" s="126" t="s">
        <v>8</v>
      </c>
      <c r="C61" s="172">
        <v>1</v>
      </c>
      <c r="D61" s="416" t="s">
        <v>1049</v>
      </c>
      <c r="E61" s="108" t="s">
        <v>1035</v>
      </c>
    </row>
    <row r="62" spans="1:5" ht="29.15" customHeight="1" x14ac:dyDescent="0.35">
      <c r="A62" s="125">
        <v>46213</v>
      </c>
      <c r="B62" s="126" t="s">
        <v>1111</v>
      </c>
      <c r="C62" s="205">
        <v>1</v>
      </c>
      <c r="D62" s="417"/>
      <c r="E62" s="108" t="s">
        <v>1112</v>
      </c>
    </row>
    <row r="63" spans="1:5" ht="29.15" customHeight="1" x14ac:dyDescent="0.35">
      <c r="A63" s="125">
        <v>46213</v>
      </c>
      <c r="B63" s="127" t="s">
        <v>1113</v>
      </c>
      <c r="C63" s="205">
        <v>1</v>
      </c>
      <c r="D63" s="417"/>
      <c r="E63" s="108" t="s">
        <v>1114</v>
      </c>
    </row>
    <row r="64" spans="1:5" ht="14.5" customHeight="1" x14ac:dyDescent="0.35">
      <c r="A64" s="125">
        <v>46213</v>
      </c>
      <c r="B64" s="126" t="s">
        <v>1115</v>
      </c>
      <c r="C64" s="206">
        <v>6.25E-2</v>
      </c>
      <c r="D64" s="417"/>
      <c r="E64" s="108" t="s">
        <v>1116</v>
      </c>
    </row>
    <row r="65" spans="1:5" ht="29.15" customHeight="1" x14ac:dyDescent="0.35">
      <c r="A65" s="125">
        <v>46213</v>
      </c>
      <c r="B65" s="126" t="s">
        <v>1117</v>
      </c>
      <c r="C65" s="206">
        <v>6.25E-2</v>
      </c>
      <c r="D65" s="417"/>
      <c r="E65" s="108" t="s">
        <v>1117</v>
      </c>
    </row>
    <row r="66" spans="1:5" ht="14.5" customHeight="1" x14ac:dyDescent="0.35">
      <c r="A66" s="125">
        <v>46213</v>
      </c>
      <c r="B66" s="126" t="s">
        <v>1118</v>
      </c>
      <c r="C66" s="205" t="s">
        <v>252</v>
      </c>
      <c r="D66" s="417"/>
      <c r="E66" s="108" t="s">
        <v>1119</v>
      </c>
    </row>
    <row r="67" spans="1:5" ht="14.5" customHeight="1" x14ac:dyDescent="0.35">
      <c r="A67" s="125">
        <v>46213</v>
      </c>
      <c r="B67" s="126" t="s">
        <v>1120</v>
      </c>
      <c r="C67" s="206">
        <v>6.25E-2</v>
      </c>
      <c r="D67" s="417"/>
      <c r="E67" s="108" t="s">
        <v>1121</v>
      </c>
    </row>
    <row r="68" spans="1:5" ht="14.5" customHeight="1" x14ac:dyDescent="0.35">
      <c r="A68" s="125">
        <v>46213</v>
      </c>
      <c r="B68" s="126" t="s">
        <v>1122</v>
      </c>
      <c r="C68" s="205" t="s">
        <v>252</v>
      </c>
      <c r="D68" s="417"/>
      <c r="E68" s="108" t="s">
        <v>1122</v>
      </c>
    </row>
    <row r="69" spans="1:5" ht="14.5" customHeight="1" x14ac:dyDescent="0.35">
      <c r="A69" s="125">
        <v>46213</v>
      </c>
      <c r="B69" s="6" t="s">
        <v>1030</v>
      </c>
      <c r="C69" s="107">
        <v>1</v>
      </c>
      <c r="D69" s="419"/>
      <c r="E69" s="42" t="s">
        <v>997</v>
      </c>
    </row>
    <row r="70" spans="1:5" x14ac:dyDescent="0.35">
      <c r="A70" s="12"/>
      <c r="B70" s="12"/>
      <c r="C70" s="31"/>
      <c r="D70" s="31"/>
      <c r="E70" s="43"/>
    </row>
    <row r="71" spans="1:5" x14ac:dyDescent="0.35">
      <c r="A71" s="125">
        <v>46216</v>
      </c>
      <c r="B71" s="216" t="s">
        <v>8</v>
      </c>
      <c r="C71" s="162">
        <v>1</v>
      </c>
      <c r="D71" s="416">
        <v>9</v>
      </c>
      <c r="E71" s="108" t="s">
        <v>1035</v>
      </c>
    </row>
    <row r="72" spans="1:5" ht="29" x14ac:dyDescent="0.35">
      <c r="A72" s="125">
        <v>46216</v>
      </c>
      <c r="B72" s="217" t="s">
        <v>1123</v>
      </c>
      <c r="C72" s="88">
        <v>1</v>
      </c>
      <c r="D72" s="417"/>
      <c r="E72" s="108" t="s">
        <v>1124</v>
      </c>
    </row>
    <row r="73" spans="1:5" ht="29" x14ac:dyDescent="0.35">
      <c r="A73" s="125">
        <v>46216</v>
      </c>
      <c r="B73" s="217" t="s">
        <v>1125</v>
      </c>
      <c r="C73" s="88" t="s">
        <v>1126</v>
      </c>
      <c r="D73" s="417"/>
      <c r="E73" s="108" t="s">
        <v>1127</v>
      </c>
    </row>
    <row r="74" spans="1:5" ht="29" x14ac:dyDescent="0.35">
      <c r="A74" s="125">
        <v>46216</v>
      </c>
      <c r="B74" s="217" t="s">
        <v>1128</v>
      </c>
      <c r="C74" s="88" t="s">
        <v>252</v>
      </c>
      <c r="D74" s="417"/>
      <c r="E74" s="108" t="s">
        <v>1129</v>
      </c>
    </row>
    <row r="75" spans="1:5" ht="29" x14ac:dyDescent="0.35">
      <c r="A75" s="125">
        <v>46216</v>
      </c>
      <c r="B75" s="217" t="s">
        <v>1130</v>
      </c>
      <c r="C75" s="88">
        <v>1</v>
      </c>
      <c r="D75" s="417"/>
      <c r="E75" s="108" t="s">
        <v>1131</v>
      </c>
    </row>
    <row r="76" spans="1:5" ht="29" x14ac:dyDescent="0.35">
      <c r="A76" s="125">
        <v>46216</v>
      </c>
      <c r="B76" s="217" t="s">
        <v>1132</v>
      </c>
      <c r="C76" s="88" t="s">
        <v>252</v>
      </c>
      <c r="D76" s="417"/>
      <c r="E76" s="108" t="s">
        <v>1133</v>
      </c>
    </row>
    <row r="77" spans="1:5" ht="29" x14ac:dyDescent="0.35">
      <c r="A77" s="125">
        <v>46216</v>
      </c>
      <c r="B77" s="217" t="s">
        <v>1134</v>
      </c>
      <c r="C77" s="88" t="s">
        <v>1079</v>
      </c>
      <c r="D77" s="418"/>
      <c r="E77" s="108" t="s">
        <v>1135</v>
      </c>
    </row>
    <row r="78" spans="1:5" x14ac:dyDescent="0.35">
      <c r="A78" s="12"/>
      <c r="B78" s="12"/>
      <c r="C78" s="13"/>
      <c r="D78" s="31"/>
      <c r="E78" s="43"/>
    </row>
    <row r="79" spans="1:5" x14ac:dyDescent="0.35">
      <c r="A79" s="125">
        <v>46217</v>
      </c>
      <c r="B79" s="126" t="s">
        <v>8</v>
      </c>
      <c r="C79" s="162">
        <v>1</v>
      </c>
      <c r="D79" s="424" t="s">
        <v>1049</v>
      </c>
      <c r="E79" s="108" t="s">
        <v>1035</v>
      </c>
    </row>
    <row r="80" spans="1:5" ht="29" x14ac:dyDescent="0.35">
      <c r="A80" s="125">
        <v>46217</v>
      </c>
      <c r="B80" s="127" t="s">
        <v>1136</v>
      </c>
      <c r="C80" s="153" t="s">
        <v>1079</v>
      </c>
      <c r="D80" s="425"/>
      <c r="E80" s="108" t="s">
        <v>1137</v>
      </c>
    </row>
    <row r="81" spans="1:5" ht="29" x14ac:dyDescent="0.35">
      <c r="A81" s="125">
        <v>46217</v>
      </c>
      <c r="B81" s="127" t="s">
        <v>1138</v>
      </c>
      <c r="C81" s="153" t="s">
        <v>252</v>
      </c>
      <c r="D81" s="425"/>
      <c r="E81" s="108" t="s">
        <v>1139</v>
      </c>
    </row>
    <row r="82" spans="1:5" ht="29" x14ac:dyDescent="0.35">
      <c r="A82" s="125">
        <v>46217</v>
      </c>
      <c r="B82" s="127" t="s">
        <v>1140</v>
      </c>
      <c r="C82" s="153" t="s">
        <v>1126</v>
      </c>
      <c r="D82" s="425"/>
      <c r="E82" s="108" t="s">
        <v>1141</v>
      </c>
    </row>
    <row r="83" spans="1:5" ht="29" x14ac:dyDescent="0.35">
      <c r="A83" s="125">
        <v>46217</v>
      </c>
      <c r="B83" s="127" t="s">
        <v>1142</v>
      </c>
      <c r="C83" s="153" t="s">
        <v>1126</v>
      </c>
      <c r="D83" s="425"/>
      <c r="E83" s="108" t="s">
        <v>1143</v>
      </c>
    </row>
    <row r="84" spans="1:5" ht="29" x14ac:dyDescent="0.35">
      <c r="A84" s="125">
        <v>46217</v>
      </c>
      <c r="B84" s="127" t="s">
        <v>1018</v>
      </c>
      <c r="C84" s="153">
        <v>1</v>
      </c>
      <c r="D84" s="426"/>
      <c r="E84" s="108" t="s">
        <v>1019</v>
      </c>
    </row>
    <row r="85" spans="1:5" ht="29" x14ac:dyDescent="0.35">
      <c r="A85" s="125">
        <v>46217</v>
      </c>
      <c r="B85" s="127" t="s">
        <v>1144</v>
      </c>
      <c r="C85" s="153" t="s">
        <v>252</v>
      </c>
      <c r="D85" s="127"/>
      <c r="E85" s="108" t="s">
        <v>1145</v>
      </c>
    </row>
    <row r="86" spans="1:5" x14ac:dyDescent="0.35">
      <c r="A86" s="12"/>
      <c r="B86" s="12"/>
      <c r="C86" s="13"/>
      <c r="D86" s="31"/>
      <c r="E86" s="43"/>
    </row>
    <row r="87" spans="1:5" x14ac:dyDescent="0.35">
      <c r="A87" s="125">
        <v>46218</v>
      </c>
      <c r="B87" s="126" t="s">
        <v>8</v>
      </c>
      <c r="C87" s="172">
        <v>1</v>
      </c>
      <c r="D87" s="427" t="s">
        <v>1095</v>
      </c>
      <c r="E87" s="108" t="s">
        <v>1035</v>
      </c>
    </row>
    <row r="88" spans="1:5" ht="29" x14ac:dyDescent="0.35">
      <c r="A88" s="125">
        <v>46218</v>
      </c>
      <c r="B88" s="127" t="s">
        <v>1146</v>
      </c>
      <c r="C88" s="226">
        <v>1</v>
      </c>
      <c r="D88" s="428"/>
      <c r="E88" s="108" t="s">
        <v>1147</v>
      </c>
    </row>
    <row r="89" spans="1:5" ht="29" x14ac:dyDescent="0.35">
      <c r="A89" s="125">
        <v>46218</v>
      </c>
      <c r="B89" s="127" t="s">
        <v>1148</v>
      </c>
      <c r="C89" s="226" t="s">
        <v>1126</v>
      </c>
      <c r="D89" s="428"/>
      <c r="E89" s="108" t="s">
        <v>1149</v>
      </c>
    </row>
    <row r="90" spans="1:5" ht="29" x14ac:dyDescent="0.35">
      <c r="A90" s="125">
        <v>46218</v>
      </c>
      <c r="B90" s="127" t="s">
        <v>1150</v>
      </c>
      <c r="C90" s="226" t="s">
        <v>1151</v>
      </c>
      <c r="D90" s="428"/>
      <c r="E90" s="108" t="s">
        <v>1152</v>
      </c>
    </row>
    <row r="91" spans="1:5" ht="29" x14ac:dyDescent="0.35">
      <c r="A91" s="125">
        <v>46218</v>
      </c>
      <c r="B91" s="127" t="s">
        <v>1153</v>
      </c>
      <c r="C91" s="226">
        <v>1</v>
      </c>
      <c r="D91" s="428"/>
      <c r="E91" s="108" t="s">
        <v>1154</v>
      </c>
    </row>
    <row r="92" spans="1:5" ht="29" x14ac:dyDescent="0.35">
      <c r="A92" s="125">
        <v>46218</v>
      </c>
      <c r="B92" s="127" t="s">
        <v>1155</v>
      </c>
      <c r="C92" s="226" t="s">
        <v>252</v>
      </c>
      <c r="D92" s="428"/>
      <c r="E92" s="108" t="s">
        <v>1156</v>
      </c>
    </row>
    <row r="93" spans="1:5" x14ac:dyDescent="0.35">
      <c r="A93" s="125">
        <v>46218</v>
      </c>
      <c r="B93" s="127" t="s">
        <v>1157</v>
      </c>
      <c r="C93" s="226" t="s">
        <v>189</v>
      </c>
      <c r="D93" s="428"/>
      <c r="E93" s="108" t="s">
        <v>1158</v>
      </c>
    </row>
    <row r="94" spans="1:5" ht="29" x14ac:dyDescent="0.35">
      <c r="A94" s="125">
        <v>46218</v>
      </c>
      <c r="B94" s="127" t="s">
        <v>1159</v>
      </c>
      <c r="C94" s="226" t="s">
        <v>252</v>
      </c>
      <c r="D94" s="428"/>
      <c r="E94" s="108" t="s">
        <v>1160</v>
      </c>
    </row>
    <row r="95" spans="1:5" x14ac:dyDescent="0.35">
      <c r="A95" s="125">
        <v>46218</v>
      </c>
      <c r="B95" s="127" t="s">
        <v>1161</v>
      </c>
      <c r="C95" s="226" t="s">
        <v>252</v>
      </c>
      <c r="D95" s="428"/>
      <c r="E95" s="108" t="s">
        <v>1162</v>
      </c>
    </row>
    <row r="96" spans="1:5" ht="29" x14ac:dyDescent="0.35">
      <c r="A96" s="125">
        <v>46218</v>
      </c>
      <c r="B96" s="127" t="s">
        <v>1163</v>
      </c>
      <c r="C96" s="226" t="s">
        <v>252</v>
      </c>
      <c r="D96" s="429"/>
      <c r="E96" s="108" t="s">
        <v>1164</v>
      </c>
    </row>
    <row r="97" spans="1:5" x14ac:dyDescent="0.35">
      <c r="A97" s="12"/>
      <c r="B97" s="12"/>
      <c r="C97" s="13"/>
      <c r="D97" s="31"/>
      <c r="E97" s="43"/>
    </row>
    <row r="98" spans="1:5" x14ac:dyDescent="0.35">
      <c r="A98" s="125">
        <v>46219</v>
      </c>
      <c r="B98" s="232" t="s">
        <v>8</v>
      </c>
      <c r="C98" s="233">
        <v>1</v>
      </c>
      <c r="D98" s="430" t="s">
        <v>1049</v>
      </c>
      <c r="E98" s="234" t="s">
        <v>1035</v>
      </c>
    </row>
    <row r="99" spans="1:5" x14ac:dyDescent="0.35">
      <c r="A99" s="125">
        <v>46219</v>
      </c>
      <c r="B99" s="232" t="s">
        <v>1165</v>
      </c>
      <c r="C99" s="237" t="s">
        <v>1151</v>
      </c>
      <c r="D99" s="430"/>
      <c r="E99" s="160" t="s">
        <v>1166</v>
      </c>
    </row>
    <row r="100" spans="1:5" x14ac:dyDescent="0.35">
      <c r="A100" s="125">
        <v>46219</v>
      </c>
      <c r="B100" s="232" t="s">
        <v>1167</v>
      </c>
      <c r="C100" s="237">
        <v>1</v>
      </c>
      <c r="D100" s="430"/>
      <c r="E100" s="160" t="s">
        <v>1168</v>
      </c>
    </row>
    <row r="101" spans="1:5" ht="29" x14ac:dyDescent="0.35">
      <c r="A101" s="125">
        <v>46219</v>
      </c>
      <c r="B101" s="232" t="s">
        <v>1169</v>
      </c>
      <c r="C101" s="237">
        <v>1</v>
      </c>
      <c r="D101" s="430"/>
      <c r="E101" s="161" t="s">
        <v>1170</v>
      </c>
    </row>
    <row r="102" spans="1:5" x14ac:dyDescent="0.35">
      <c r="A102" s="125">
        <v>46219</v>
      </c>
      <c r="B102" s="232" t="s">
        <v>1171</v>
      </c>
      <c r="C102" s="237" t="s">
        <v>1126</v>
      </c>
      <c r="D102" s="430"/>
      <c r="E102" s="160" t="s">
        <v>1172</v>
      </c>
    </row>
    <row r="103" spans="1:5" ht="29" x14ac:dyDescent="0.35">
      <c r="A103" s="125">
        <v>46219</v>
      </c>
      <c r="B103" s="232" t="s">
        <v>1173</v>
      </c>
      <c r="C103" s="237" t="s">
        <v>252</v>
      </c>
      <c r="D103" s="430"/>
      <c r="E103" s="161" t="s">
        <v>1174</v>
      </c>
    </row>
    <row r="104" spans="1:5" x14ac:dyDescent="0.35">
      <c r="A104" s="125">
        <v>46219</v>
      </c>
      <c r="B104" s="127" t="s">
        <v>1175</v>
      </c>
      <c r="C104" s="226">
        <v>2</v>
      </c>
      <c r="D104" s="430"/>
      <c r="E104" s="160" t="s">
        <v>1176</v>
      </c>
    </row>
    <row r="105" spans="1:5" x14ac:dyDescent="0.35">
      <c r="A105" s="12"/>
      <c r="B105" s="12"/>
      <c r="C105" s="13"/>
      <c r="D105" s="31"/>
      <c r="E105" s="43"/>
    </row>
    <row r="106" spans="1:5" x14ac:dyDescent="0.35">
      <c r="A106" s="125">
        <v>46220</v>
      </c>
      <c r="B106" s="127" t="s">
        <v>8</v>
      </c>
      <c r="C106" s="227">
        <v>1</v>
      </c>
      <c r="D106" s="427">
        <v>9</v>
      </c>
      <c r="E106" s="161" t="s">
        <v>1035</v>
      </c>
    </row>
    <row r="107" spans="1:5" ht="29" x14ac:dyDescent="0.35">
      <c r="A107" s="125">
        <v>46220</v>
      </c>
      <c r="B107" s="127" t="s">
        <v>1177</v>
      </c>
      <c r="C107" s="226">
        <v>5</v>
      </c>
      <c r="D107" s="428"/>
      <c r="E107" s="160" t="s">
        <v>1178</v>
      </c>
    </row>
    <row r="108" spans="1:5" x14ac:dyDescent="0.35">
      <c r="A108" s="125">
        <v>46220</v>
      </c>
      <c r="B108" s="127" t="s">
        <v>1179</v>
      </c>
      <c r="C108" s="226" t="s">
        <v>214</v>
      </c>
      <c r="D108" s="428"/>
      <c r="E108" s="160" t="s">
        <v>1180</v>
      </c>
    </row>
    <row r="109" spans="1:5" ht="29" x14ac:dyDescent="0.35">
      <c r="A109" s="125">
        <v>46220</v>
      </c>
      <c r="B109" s="127" t="s">
        <v>1181</v>
      </c>
      <c r="C109" s="226" t="s">
        <v>252</v>
      </c>
      <c r="D109" s="428"/>
      <c r="E109" s="161" t="s">
        <v>1182</v>
      </c>
    </row>
    <row r="110" spans="1:5" ht="29" x14ac:dyDescent="0.35">
      <c r="A110" s="125">
        <v>46220</v>
      </c>
      <c r="B110" s="127" t="s">
        <v>1183</v>
      </c>
      <c r="C110" s="226" t="s">
        <v>252</v>
      </c>
      <c r="D110" s="428"/>
      <c r="E110" s="160" t="s">
        <v>1184</v>
      </c>
    </row>
    <row r="111" spans="1:5" x14ac:dyDescent="0.35">
      <c r="A111" s="125">
        <v>46220</v>
      </c>
      <c r="B111" s="127" t="s">
        <v>1185</v>
      </c>
      <c r="C111" s="226" t="s">
        <v>1126</v>
      </c>
      <c r="D111" s="429"/>
      <c r="E111" s="160" t="s">
        <v>1186</v>
      </c>
    </row>
    <row r="112" spans="1:5" x14ac:dyDescent="0.35">
      <c r="A112" s="12"/>
      <c r="B112" s="43"/>
      <c r="C112" s="31"/>
      <c r="D112" s="31"/>
      <c r="E112" s="43"/>
    </row>
    <row r="113" spans="1:5" x14ac:dyDescent="0.35">
      <c r="A113" s="125">
        <v>46223</v>
      </c>
      <c r="B113" s="127" t="s">
        <v>8</v>
      </c>
      <c r="C113" s="236">
        <v>1</v>
      </c>
      <c r="D113" s="427">
        <v>9</v>
      </c>
      <c r="E113" s="165" t="s">
        <v>1035</v>
      </c>
    </row>
    <row r="114" spans="1:5" ht="29" x14ac:dyDescent="0.35">
      <c r="A114" s="125">
        <v>46223</v>
      </c>
      <c r="B114" s="127" t="s">
        <v>1028</v>
      </c>
      <c r="C114" s="153">
        <v>4</v>
      </c>
      <c r="D114" s="431"/>
      <c r="E114" s="108" t="s">
        <v>1187</v>
      </c>
    </row>
    <row r="115" spans="1:5" x14ac:dyDescent="0.35">
      <c r="A115" s="125">
        <v>46223</v>
      </c>
      <c r="B115" s="127" t="s">
        <v>1188</v>
      </c>
      <c r="C115" s="153">
        <v>1</v>
      </c>
      <c r="D115" s="428"/>
      <c r="E115" s="235" t="s">
        <v>1189</v>
      </c>
    </row>
    <row r="116" spans="1:5" x14ac:dyDescent="0.35">
      <c r="A116" s="125">
        <v>46223</v>
      </c>
      <c r="B116" s="127" t="s">
        <v>1190</v>
      </c>
      <c r="C116" s="153" t="s">
        <v>252</v>
      </c>
      <c r="D116" s="428"/>
      <c r="E116" s="42" t="s">
        <v>1191</v>
      </c>
    </row>
    <row r="117" spans="1:5" x14ac:dyDescent="0.35">
      <c r="A117" s="125">
        <v>46223</v>
      </c>
      <c r="B117" s="127" t="s">
        <v>1192</v>
      </c>
      <c r="C117" s="153" t="s">
        <v>252</v>
      </c>
      <c r="D117" s="428"/>
      <c r="E117" s="42" t="s">
        <v>1193</v>
      </c>
    </row>
    <row r="118" spans="1:5" ht="29" x14ac:dyDescent="0.35">
      <c r="A118" s="125">
        <v>46223</v>
      </c>
      <c r="B118" s="127" t="s">
        <v>1194</v>
      </c>
      <c r="C118" s="153">
        <v>2</v>
      </c>
      <c r="D118" s="428"/>
      <c r="E118" s="42" t="s">
        <v>1195</v>
      </c>
    </row>
    <row r="119" spans="1:5" x14ac:dyDescent="0.35">
      <c r="A119" s="12"/>
      <c r="B119" s="12"/>
      <c r="C119" s="246"/>
      <c r="D119" s="249"/>
      <c r="E119" s="247"/>
    </row>
    <row r="120" spans="1:5" x14ac:dyDescent="0.35">
      <c r="A120" s="125">
        <v>46224</v>
      </c>
      <c r="B120" s="232" t="s">
        <v>8</v>
      </c>
      <c r="C120" s="233">
        <v>1</v>
      </c>
      <c r="D120" s="427">
        <v>9</v>
      </c>
      <c r="E120" s="234" t="s">
        <v>1035</v>
      </c>
    </row>
    <row r="121" spans="1:5" x14ac:dyDescent="0.35">
      <c r="A121" s="125">
        <v>46224</v>
      </c>
      <c r="B121" s="232" t="s">
        <v>1196</v>
      </c>
      <c r="C121" s="237">
        <v>2</v>
      </c>
      <c r="D121" s="428"/>
      <c r="E121" s="160" t="s">
        <v>1197</v>
      </c>
    </row>
    <row r="122" spans="1:5" x14ac:dyDescent="0.35">
      <c r="A122" s="125">
        <v>46224</v>
      </c>
      <c r="B122" s="232" t="s">
        <v>1198</v>
      </c>
      <c r="C122" s="237" t="s">
        <v>252</v>
      </c>
      <c r="D122" s="428"/>
      <c r="E122" s="160" t="s">
        <v>1199</v>
      </c>
    </row>
    <row r="123" spans="1:5" ht="29" x14ac:dyDescent="0.35">
      <c r="A123" s="125">
        <v>46224</v>
      </c>
      <c r="B123" s="232" t="s">
        <v>698</v>
      </c>
      <c r="C123" s="237">
        <v>3</v>
      </c>
      <c r="D123" s="428"/>
      <c r="E123" s="160" t="s">
        <v>699</v>
      </c>
    </row>
    <row r="124" spans="1:5" x14ac:dyDescent="0.35">
      <c r="A124" s="125">
        <v>46224</v>
      </c>
      <c r="B124" s="232" t="s">
        <v>1200</v>
      </c>
      <c r="C124" s="237" t="s">
        <v>214</v>
      </c>
      <c r="D124" s="428"/>
      <c r="E124" s="160" t="s">
        <v>1201</v>
      </c>
    </row>
    <row r="125" spans="1:5" x14ac:dyDescent="0.35">
      <c r="A125" s="125">
        <v>46224</v>
      </c>
      <c r="B125" s="6" t="s">
        <v>1030</v>
      </c>
      <c r="C125" s="107">
        <v>1</v>
      </c>
      <c r="D125" s="428"/>
      <c r="E125" s="174" t="s">
        <v>997</v>
      </c>
    </row>
    <row r="126" spans="1:5" x14ac:dyDescent="0.35">
      <c r="A126" s="125">
        <v>46224</v>
      </c>
      <c r="B126" s="6" t="s">
        <v>1202</v>
      </c>
      <c r="C126" s="107">
        <v>1</v>
      </c>
      <c r="D126" s="429"/>
      <c r="E126" s="160" t="s">
        <v>1203</v>
      </c>
    </row>
    <row r="127" spans="1:5" x14ac:dyDescent="0.35">
      <c r="A127" s="12"/>
      <c r="B127" s="12"/>
      <c r="C127" s="251"/>
      <c r="D127" s="249"/>
      <c r="E127" s="247"/>
    </row>
    <row r="128" spans="1:5" x14ac:dyDescent="0.35">
      <c r="A128" s="125">
        <v>46225</v>
      </c>
      <c r="B128" s="250" t="s">
        <v>8</v>
      </c>
      <c r="C128" s="227">
        <v>1</v>
      </c>
      <c r="D128" s="427" t="s">
        <v>1049</v>
      </c>
      <c r="E128" s="108" t="s">
        <v>1035</v>
      </c>
    </row>
    <row r="129" spans="1:5" x14ac:dyDescent="0.35">
      <c r="A129" s="125">
        <v>46225</v>
      </c>
      <c r="B129" s="250" t="s">
        <v>1204</v>
      </c>
      <c r="C129" s="226" t="s">
        <v>252</v>
      </c>
      <c r="D129" s="428"/>
      <c r="E129" s="108" t="s">
        <v>1205</v>
      </c>
    </row>
    <row r="130" spans="1:5" x14ac:dyDescent="0.35">
      <c r="A130" s="125">
        <v>46225</v>
      </c>
      <c r="B130" s="250" t="s">
        <v>1206</v>
      </c>
      <c r="C130" s="226" t="s">
        <v>214</v>
      </c>
      <c r="D130" s="428"/>
      <c r="E130" s="42" t="s">
        <v>1207</v>
      </c>
    </row>
    <row r="131" spans="1:5" x14ac:dyDescent="0.35">
      <c r="A131" s="125">
        <v>46225</v>
      </c>
      <c r="B131" s="250" t="s">
        <v>1208</v>
      </c>
      <c r="C131" s="226" t="s">
        <v>1099</v>
      </c>
      <c r="D131" s="428"/>
      <c r="E131" s="42" t="s">
        <v>1209</v>
      </c>
    </row>
    <row r="132" spans="1:5" ht="29" x14ac:dyDescent="0.35">
      <c r="A132" s="125">
        <v>46225</v>
      </c>
      <c r="B132" s="250" t="s">
        <v>1210</v>
      </c>
      <c r="C132" s="226" t="s">
        <v>214</v>
      </c>
      <c r="D132" s="428"/>
      <c r="E132" s="42" t="s">
        <v>1211</v>
      </c>
    </row>
    <row r="133" spans="1:5" ht="29" x14ac:dyDescent="0.35">
      <c r="A133" s="125">
        <v>46225</v>
      </c>
      <c r="B133" s="250" t="s">
        <v>1212</v>
      </c>
      <c r="C133" s="226">
        <v>1</v>
      </c>
      <c r="D133" s="428"/>
      <c r="E133" s="108" t="s">
        <v>1213</v>
      </c>
    </row>
    <row r="134" spans="1:5" x14ac:dyDescent="0.35">
      <c r="A134" s="125">
        <v>46225</v>
      </c>
      <c r="B134" s="250" t="s">
        <v>156</v>
      </c>
      <c r="C134" s="226">
        <v>1</v>
      </c>
      <c r="D134" s="428"/>
      <c r="E134" s="42" t="s">
        <v>1214</v>
      </c>
    </row>
    <row r="135" spans="1:5" ht="29" x14ac:dyDescent="0.35">
      <c r="A135" s="125">
        <v>46225</v>
      </c>
      <c r="B135" s="127" t="s">
        <v>1215</v>
      </c>
      <c r="C135" s="226" t="s">
        <v>252</v>
      </c>
      <c r="D135" s="429"/>
      <c r="E135" s="42" t="s">
        <v>1216</v>
      </c>
    </row>
    <row r="136" spans="1:5" x14ac:dyDescent="0.35">
      <c r="A136" s="12"/>
      <c r="B136" s="43"/>
      <c r="C136" s="251"/>
      <c r="D136" s="249"/>
      <c r="E136" s="247"/>
    </row>
    <row r="137" spans="1:5" x14ac:dyDescent="0.35">
      <c r="A137" s="125">
        <v>46226</v>
      </c>
      <c r="B137" s="127" t="s">
        <v>8</v>
      </c>
      <c r="C137" s="236">
        <v>1</v>
      </c>
      <c r="D137" s="416" t="s">
        <v>1217</v>
      </c>
      <c r="E137" s="42" t="s">
        <v>1035</v>
      </c>
    </row>
    <row r="138" spans="1:5" x14ac:dyDescent="0.35">
      <c r="A138" s="125">
        <v>46226</v>
      </c>
      <c r="B138" s="127" t="s">
        <v>1218</v>
      </c>
      <c r="C138" s="153" t="s">
        <v>252</v>
      </c>
      <c r="D138" s="417"/>
      <c r="E138" s="42" t="s">
        <v>1219</v>
      </c>
    </row>
    <row r="139" spans="1:5" x14ac:dyDescent="0.35">
      <c r="A139" s="125">
        <v>46226</v>
      </c>
      <c r="B139" s="127" t="s">
        <v>1220</v>
      </c>
      <c r="C139" s="153">
        <v>3</v>
      </c>
      <c r="D139" s="417"/>
      <c r="E139" s="42" t="s">
        <v>1221</v>
      </c>
    </row>
    <row r="140" spans="1:5" x14ac:dyDescent="0.35">
      <c r="A140" s="125">
        <v>46226</v>
      </c>
      <c r="B140" s="127" t="s">
        <v>1222</v>
      </c>
      <c r="C140" s="153">
        <v>2</v>
      </c>
      <c r="D140" s="417"/>
      <c r="E140" s="42" t="s">
        <v>1223</v>
      </c>
    </row>
    <row r="141" spans="1:5" x14ac:dyDescent="0.35">
      <c r="A141" s="125">
        <v>46226</v>
      </c>
      <c r="B141" s="127" t="s">
        <v>1224</v>
      </c>
      <c r="C141" s="153" t="s">
        <v>252</v>
      </c>
      <c r="D141" s="417"/>
      <c r="E141" s="42" t="s">
        <v>1225</v>
      </c>
    </row>
    <row r="142" spans="1:5" ht="29" x14ac:dyDescent="0.35">
      <c r="A142" s="125">
        <v>46226</v>
      </c>
      <c r="B142" s="127" t="s">
        <v>1226</v>
      </c>
      <c r="C142" s="153" t="s">
        <v>1102</v>
      </c>
      <c r="D142" s="417"/>
      <c r="E142" s="108" t="s">
        <v>1227</v>
      </c>
    </row>
    <row r="143" spans="1:5" ht="29" x14ac:dyDescent="0.35">
      <c r="A143" s="125">
        <v>46226</v>
      </c>
      <c r="B143" s="127" t="s">
        <v>1228</v>
      </c>
      <c r="C143" s="153" t="s">
        <v>1126</v>
      </c>
      <c r="D143" s="417"/>
      <c r="E143" s="166" t="s">
        <v>1229</v>
      </c>
    </row>
    <row r="144" spans="1:5" x14ac:dyDescent="0.35">
      <c r="A144" s="125">
        <v>46226</v>
      </c>
      <c r="B144" s="127" t="s">
        <v>1230</v>
      </c>
      <c r="C144" s="226" t="s">
        <v>1102</v>
      </c>
      <c r="D144" s="418"/>
      <c r="E144" s="42" t="s">
        <v>1231</v>
      </c>
    </row>
    <row r="145" spans="1:5" x14ac:dyDescent="0.35">
      <c r="A145" s="12"/>
      <c r="B145" s="43"/>
      <c r="C145" s="251"/>
      <c r="D145" s="249"/>
      <c r="E145" s="247"/>
    </row>
    <row r="146" spans="1:5" x14ac:dyDescent="0.35">
      <c r="A146" s="125">
        <v>46227</v>
      </c>
      <c r="B146" s="127" t="s">
        <v>8</v>
      </c>
      <c r="C146" s="236">
        <v>1</v>
      </c>
      <c r="D146" s="427" t="s">
        <v>1049</v>
      </c>
      <c r="E146" s="42" t="s">
        <v>1035</v>
      </c>
    </row>
    <row r="147" spans="1:5" ht="29" x14ac:dyDescent="0.35">
      <c r="A147" s="125">
        <v>46227</v>
      </c>
      <c r="B147" s="127" t="s">
        <v>1232</v>
      </c>
      <c r="C147" s="153">
        <v>2</v>
      </c>
      <c r="D147" s="428"/>
      <c r="E147" s="42" t="s">
        <v>1233</v>
      </c>
    </row>
    <row r="148" spans="1:5" x14ac:dyDescent="0.35">
      <c r="A148" s="125">
        <v>46227</v>
      </c>
      <c r="B148" s="127" t="s">
        <v>1234</v>
      </c>
      <c r="C148" s="153" t="s">
        <v>252</v>
      </c>
      <c r="D148" s="428"/>
      <c r="E148" s="166" t="s">
        <v>1235</v>
      </c>
    </row>
    <row r="149" spans="1:5" ht="29" x14ac:dyDescent="0.35">
      <c r="A149" s="125">
        <v>46227</v>
      </c>
      <c r="B149" s="127" t="s">
        <v>1236</v>
      </c>
      <c r="C149" s="153" t="s">
        <v>189</v>
      </c>
      <c r="D149" s="428"/>
      <c r="E149" s="108" t="s">
        <v>1237</v>
      </c>
    </row>
    <row r="150" spans="1:5" x14ac:dyDescent="0.35">
      <c r="A150" s="125">
        <v>46227</v>
      </c>
      <c r="B150" s="127" t="s">
        <v>1238</v>
      </c>
      <c r="C150" s="153">
        <v>2</v>
      </c>
      <c r="D150" s="428"/>
      <c r="E150" s="235" t="s">
        <v>1239</v>
      </c>
    </row>
    <row r="151" spans="1:5" ht="29" x14ac:dyDescent="0.35">
      <c r="A151" s="125">
        <v>46227</v>
      </c>
      <c r="B151" s="127" t="s">
        <v>1240</v>
      </c>
      <c r="C151" s="153" t="s">
        <v>1241</v>
      </c>
      <c r="D151" s="429"/>
      <c r="E151" s="42" t="s">
        <v>1242</v>
      </c>
    </row>
    <row r="152" spans="1:5" x14ac:dyDescent="0.35">
      <c r="A152" s="277"/>
      <c r="B152" s="188"/>
      <c r="C152" s="189"/>
      <c r="D152" s="249"/>
      <c r="E152" s="188"/>
    </row>
    <row r="153" spans="1:5" x14ac:dyDescent="0.35">
      <c r="A153" s="125">
        <v>46230</v>
      </c>
      <c r="B153" s="127" t="s">
        <v>8</v>
      </c>
      <c r="C153" s="227">
        <v>1</v>
      </c>
      <c r="D153" s="430">
        <v>10</v>
      </c>
      <c r="E153" s="174" t="s">
        <v>1035</v>
      </c>
    </row>
    <row r="154" spans="1:5" x14ac:dyDescent="0.35">
      <c r="A154" s="125">
        <v>46230</v>
      </c>
      <c r="B154" s="127" t="s">
        <v>1600</v>
      </c>
      <c r="C154" s="226" t="s">
        <v>1151</v>
      </c>
      <c r="D154" s="430"/>
      <c r="E154" s="161" t="s">
        <v>1599</v>
      </c>
    </row>
    <row r="155" spans="1:5" ht="29" x14ac:dyDescent="0.35">
      <c r="A155" s="125">
        <v>46230</v>
      </c>
      <c r="B155" s="127" t="s">
        <v>1591</v>
      </c>
      <c r="C155" s="226" t="s">
        <v>1596</v>
      </c>
      <c r="D155" s="430"/>
      <c r="E155" s="161" t="s">
        <v>1601</v>
      </c>
    </row>
    <row r="156" spans="1:5" x14ac:dyDescent="0.35">
      <c r="A156" s="125">
        <v>46230</v>
      </c>
      <c r="B156" s="127" t="s">
        <v>1592</v>
      </c>
      <c r="C156" s="226" t="s">
        <v>252</v>
      </c>
      <c r="D156" s="430"/>
      <c r="E156" s="161" t="s">
        <v>1602</v>
      </c>
    </row>
    <row r="157" spans="1:5" x14ac:dyDescent="0.35">
      <c r="A157" s="125">
        <v>46230</v>
      </c>
      <c r="B157" s="127" t="s">
        <v>1598</v>
      </c>
      <c r="C157" s="226">
        <v>1</v>
      </c>
      <c r="D157" s="430"/>
      <c r="E157" s="161" t="s">
        <v>1598</v>
      </c>
    </row>
    <row r="158" spans="1:5" x14ac:dyDescent="0.35">
      <c r="A158" s="125">
        <v>46230</v>
      </c>
      <c r="B158" s="127" t="s">
        <v>1593</v>
      </c>
      <c r="C158" s="226" t="s">
        <v>1151</v>
      </c>
      <c r="D158" s="430"/>
      <c r="E158" s="161" t="s">
        <v>1603</v>
      </c>
    </row>
    <row r="159" spans="1:5" ht="29" x14ac:dyDescent="0.35">
      <c r="A159" s="125">
        <v>46230</v>
      </c>
      <c r="B159" s="127" t="s">
        <v>1595</v>
      </c>
      <c r="C159" s="226">
        <v>1</v>
      </c>
      <c r="D159" s="430"/>
      <c r="E159" s="161" t="s">
        <v>1604</v>
      </c>
    </row>
    <row r="160" spans="1:5" x14ac:dyDescent="0.35">
      <c r="A160" s="125">
        <v>46230</v>
      </c>
      <c r="B160" s="127" t="s">
        <v>1594</v>
      </c>
      <c r="C160" s="226" t="s">
        <v>1597</v>
      </c>
      <c r="D160" s="430"/>
      <c r="E160" s="161" t="s">
        <v>1605</v>
      </c>
    </row>
    <row r="161" spans="1:5" ht="29" x14ac:dyDescent="0.35">
      <c r="A161" s="125">
        <v>46230</v>
      </c>
      <c r="B161" s="127" t="s">
        <v>1607</v>
      </c>
      <c r="C161" s="226" t="s">
        <v>252</v>
      </c>
      <c r="D161" s="430"/>
      <c r="E161" s="161" t="s">
        <v>1606</v>
      </c>
    </row>
    <row r="162" spans="1:5" x14ac:dyDescent="0.35">
      <c r="A162" s="277"/>
      <c r="B162" s="188"/>
      <c r="C162" s="249"/>
      <c r="D162" s="249"/>
      <c r="E162" s="188"/>
    </row>
    <row r="163" spans="1:5" x14ac:dyDescent="0.35">
      <c r="A163" s="125">
        <v>46231</v>
      </c>
      <c r="B163" s="217" t="s">
        <v>8</v>
      </c>
      <c r="C163" s="236">
        <v>1</v>
      </c>
      <c r="D163" s="427">
        <v>11</v>
      </c>
      <c r="E163" s="42" t="s">
        <v>1035</v>
      </c>
    </row>
    <row r="164" spans="1:5" ht="29" x14ac:dyDescent="0.35">
      <c r="A164" s="125">
        <v>46231</v>
      </c>
      <c r="B164" s="217" t="s">
        <v>1648</v>
      </c>
      <c r="C164" s="153" t="s">
        <v>1151</v>
      </c>
      <c r="D164" s="428"/>
      <c r="E164" s="42" t="s">
        <v>1699</v>
      </c>
    </row>
    <row r="165" spans="1:5" ht="29" x14ac:dyDescent="0.35">
      <c r="A165" s="125">
        <v>46231</v>
      </c>
      <c r="B165" s="217" t="s">
        <v>1649</v>
      </c>
      <c r="C165" s="153" t="s">
        <v>1102</v>
      </c>
      <c r="D165" s="428"/>
      <c r="E165" s="42" t="s">
        <v>1679</v>
      </c>
    </row>
    <row r="166" spans="1:5" ht="29" x14ac:dyDescent="0.35">
      <c r="A166" s="125">
        <v>46231</v>
      </c>
      <c r="B166" s="217" t="s">
        <v>1650</v>
      </c>
      <c r="C166" s="451">
        <v>6.25E-2</v>
      </c>
      <c r="D166" s="428"/>
      <c r="E166" s="108" t="s">
        <v>1680</v>
      </c>
    </row>
    <row r="167" spans="1:5" x14ac:dyDescent="0.35">
      <c r="A167" s="125">
        <v>46231</v>
      </c>
      <c r="B167" s="217" t="s">
        <v>1598</v>
      </c>
      <c r="C167" s="153">
        <v>1</v>
      </c>
      <c r="D167" s="428"/>
      <c r="E167" s="108" t="s">
        <v>1598</v>
      </c>
    </row>
    <row r="168" spans="1:5" ht="29" x14ac:dyDescent="0.35">
      <c r="A168" s="125">
        <v>46231</v>
      </c>
      <c r="B168" s="217" t="s">
        <v>1677</v>
      </c>
      <c r="C168" s="153">
        <v>4</v>
      </c>
      <c r="D168" s="428"/>
      <c r="E168" s="108" t="s">
        <v>1678</v>
      </c>
    </row>
    <row r="169" spans="1:5" x14ac:dyDescent="0.35">
      <c r="A169" s="125">
        <v>46231</v>
      </c>
      <c r="B169" s="217" t="s">
        <v>1594</v>
      </c>
      <c r="C169" s="153" t="s">
        <v>1597</v>
      </c>
      <c r="D169" s="428"/>
      <c r="E169" s="165" t="s">
        <v>1605</v>
      </c>
    </row>
    <row r="170" spans="1:5" ht="29" x14ac:dyDescent="0.35">
      <c r="A170" s="125">
        <v>46231</v>
      </c>
      <c r="B170" s="217" t="s">
        <v>1697</v>
      </c>
      <c r="C170" s="226" t="s">
        <v>252</v>
      </c>
      <c r="D170" s="429"/>
      <c r="E170" s="108" t="s">
        <v>1698</v>
      </c>
    </row>
    <row r="171" spans="1:5" x14ac:dyDescent="0.35">
      <c r="A171" s="277"/>
      <c r="B171" s="188"/>
      <c r="C171" s="461"/>
      <c r="D171" s="249"/>
      <c r="E171" s="188"/>
    </row>
    <row r="172" spans="1:5" x14ac:dyDescent="0.35">
      <c r="A172" s="125">
        <v>46232</v>
      </c>
      <c r="B172" s="217" t="s">
        <v>8</v>
      </c>
      <c r="C172" s="236">
        <v>1</v>
      </c>
      <c r="D172" s="427" t="s">
        <v>1049</v>
      </c>
      <c r="E172" s="42" t="s">
        <v>1035</v>
      </c>
    </row>
    <row r="173" spans="1:5" x14ac:dyDescent="0.35">
      <c r="A173" s="125">
        <v>46232</v>
      </c>
      <c r="B173" s="217" t="s">
        <v>1748</v>
      </c>
      <c r="C173" s="226">
        <v>1</v>
      </c>
      <c r="D173" s="428"/>
      <c r="E173" s="42" t="s">
        <v>1747</v>
      </c>
    </row>
    <row r="174" spans="1:5" x14ac:dyDescent="0.35">
      <c r="A174" s="125">
        <v>46232</v>
      </c>
      <c r="B174" s="217" t="s">
        <v>1727</v>
      </c>
      <c r="C174" s="226" t="s">
        <v>1102</v>
      </c>
      <c r="D174" s="428"/>
      <c r="E174" s="42" t="s">
        <v>885</v>
      </c>
    </row>
    <row r="175" spans="1:5" x14ac:dyDescent="0.35">
      <c r="A175" s="125">
        <v>46232</v>
      </c>
      <c r="B175" s="217" t="s">
        <v>1724</v>
      </c>
      <c r="C175" s="226" t="s">
        <v>252</v>
      </c>
      <c r="D175" s="428"/>
      <c r="E175" s="42" t="s">
        <v>1749</v>
      </c>
    </row>
    <row r="176" spans="1:5" x14ac:dyDescent="0.35">
      <c r="A176" s="125">
        <v>46232</v>
      </c>
      <c r="B176" s="217" t="s">
        <v>1723</v>
      </c>
      <c r="C176" s="226" t="s">
        <v>1102</v>
      </c>
      <c r="D176" s="428"/>
      <c r="E176" s="42" t="s">
        <v>1747</v>
      </c>
    </row>
    <row r="177" spans="1:5" x14ac:dyDescent="0.35">
      <c r="A177" s="125">
        <v>46232</v>
      </c>
      <c r="B177" s="217" t="s">
        <v>1598</v>
      </c>
      <c r="C177" s="153">
        <v>1</v>
      </c>
      <c r="D177" s="428"/>
      <c r="E177" s="108" t="s">
        <v>1598</v>
      </c>
    </row>
    <row r="178" spans="1:5" x14ac:dyDescent="0.35">
      <c r="A178" s="125">
        <v>46232</v>
      </c>
      <c r="B178" s="217" t="s">
        <v>1725</v>
      </c>
      <c r="C178" s="226">
        <v>1</v>
      </c>
      <c r="D178" s="428"/>
      <c r="E178" s="42" t="s">
        <v>1750</v>
      </c>
    </row>
    <row r="179" spans="1:5" x14ac:dyDescent="0.35">
      <c r="A179" s="125">
        <v>46232</v>
      </c>
      <c r="B179" s="217" t="s">
        <v>1726</v>
      </c>
      <c r="C179" s="226" t="s">
        <v>1756</v>
      </c>
      <c r="D179" s="428"/>
      <c r="E179" s="42" t="s">
        <v>1751</v>
      </c>
    </row>
    <row r="180" spans="1:5" x14ac:dyDescent="0.35">
      <c r="A180" s="125">
        <v>46232</v>
      </c>
      <c r="B180" s="217" t="s">
        <v>1728</v>
      </c>
      <c r="C180" s="226" t="s">
        <v>252</v>
      </c>
      <c r="D180" s="428"/>
      <c r="E180" s="42" t="s">
        <v>1752</v>
      </c>
    </row>
    <row r="181" spans="1:5" x14ac:dyDescent="0.35">
      <c r="A181" s="125">
        <v>46232</v>
      </c>
      <c r="B181" s="217" t="s">
        <v>1729</v>
      </c>
      <c r="C181" s="226" t="s">
        <v>252</v>
      </c>
      <c r="D181" s="428"/>
      <c r="E181" s="42" t="s">
        <v>1753</v>
      </c>
    </row>
    <row r="182" spans="1:5" x14ac:dyDescent="0.35">
      <c r="A182" s="125">
        <v>46232</v>
      </c>
      <c r="B182" s="217" t="s">
        <v>1730</v>
      </c>
      <c r="C182" s="226" t="s">
        <v>252</v>
      </c>
      <c r="D182" s="428"/>
      <c r="E182" s="42" t="s">
        <v>1754</v>
      </c>
    </row>
    <row r="183" spans="1:5" x14ac:dyDescent="0.35">
      <c r="A183" s="125">
        <v>46232</v>
      </c>
      <c r="B183" s="217" t="s">
        <v>1731</v>
      </c>
      <c r="C183" s="237" t="s">
        <v>252</v>
      </c>
      <c r="D183" s="428"/>
      <c r="E183" s="166" t="s">
        <v>1755</v>
      </c>
    </row>
    <row r="184" spans="1:5" x14ac:dyDescent="0.35">
      <c r="A184" s="277"/>
      <c r="B184" s="463"/>
      <c r="C184" s="464"/>
      <c r="D184" s="249"/>
      <c r="E184" s="462"/>
    </row>
    <row r="185" spans="1:5" x14ac:dyDescent="0.35">
      <c r="A185" s="125">
        <v>46233</v>
      </c>
      <c r="B185" s="217" t="s">
        <v>8</v>
      </c>
      <c r="C185" s="227">
        <v>1</v>
      </c>
      <c r="D185" s="427" t="s">
        <v>1049</v>
      </c>
      <c r="E185" s="42" t="s">
        <v>1035</v>
      </c>
    </row>
    <row r="186" spans="1:5" x14ac:dyDescent="0.35">
      <c r="A186" s="125">
        <v>46233</v>
      </c>
      <c r="B186" s="217" t="s">
        <v>1726</v>
      </c>
      <c r="C186" s="226">
        <v>3</v>
      </c>
      <c r="D186" s="428"/>
      <c r="E186" s="42" t="s">
        <v>1777</v>
      </c>
    </row>
    <row r="187" spans="1:5" x14ac:dyDescent="0.35">
      <c r="A187" s="125">
        <v>46233</v>
      </c>
      <c r="B187" s="217" t="s">
        <v>1598</v>
      </c>
      <c r="C187" s="226">
        <v>1</v>
      </c>
      <c r="D187" s="428"/>
      <c r="E187" s="108" t="s">
        <v>1598</v>
      </c>
    </row>
    <row r="188" spans="1:5" x14ac:dyDescent="0.35">
      <c r="A188" s="125">
        <v>46233</v>
      </c>
      <c r="B188" s="217" t="s">
        <v>1783</v>
      </c>
      <c r="C188" s="226" t="s">
        <v>1126</v>
      </c>
      <c r="D188" s="428"/>
      <c r="E188" s="42" t="s">
        <v>1790</v>
      </c>
    </row>
    <row r="189" spans="1:5" ht="29" x14ac:dyDescent="0.35">
      <c r="A189" s="125">
        <v>46233</v>
      </c>
      <c r="B189" s="217" t="s">
        <v>1784</v>
      </c>
      <c r="C189" s="226" t="s">
        <v>1126</v>
      </c>
      <c r="D189" s="428"/>
      <c r="E189" s="42" t="s">
        <v>1792</v>
      </c>
    </row>
    <row r="190" spans="1:5" ht="29" x14ac:dyDescent="0.35">
      <c r="A190" s="125">
        <v>46233</v>
      </c>
      <c r="B190" s="217" t="s">
        <v>1785</v>
      </c>
      <c r="C190" s="226">
        <v>1</v>
      </c>
      <c r="D190" s="428"/>
      <c r="E190" s="42" t="s">
        <v>1793</v>
      </c>
    </row>
    <row r="191" spans="1:5" x14ac:dyDescent="0.35">
      <c r="A191" s="125">
        <v>46233</v>
      </c>
      <c r="B191" s="217" t="s">
        <v>1594</v>
      </c>
      <c r="C191" s="226" t="s">
        <v>1597</v>
      </c>
      <c r="D191" s="428"/>
      <c r="E191" s="108" t="s">
        <v>1605</v>
      </c>
    </row>
    <row r="192" spans="1:5" x14ac:dyDescent="0.35">
      <c r="A192" s="125">
        <v>46233</v>
      </c>
      <c r="B192" s="217" t="s">
        <v>1787</v>
      </c>
      <c r="C192" s="226" t="s">
        <v>1102</v>
      </c>
      <c r="D192" s="429"/>
      <c r="E192" s="166" t="s">
        <v>1794</v>
      </c>
    </row>
    <row r="193" spans="1:5" x14ac:dyDescent="0.35">
      <c r="A193" s="277"/>
      <c r="B193" s="463"/>
      <c r="C193" s="461"/>
      <c r="D193" s="249"/>
      <c r="E193" s="462"/>
    </row>
    <row r="194" spans="1:5" x14ac:dyDescent="0.35">
      <c r="A194" s="125">
        <v>46234</v>
      </c>
      <c r="B194" s="217" t="s">
        <v>8</v>
      </c>
      <c r="C194" s="236">
        <v>1</v>
      </c>
      <c r="D194" s="427">
        <v>9</v>
      </c>
      <c r="E194" s="42" t="s">
        <v>1035</v>
      </c>
    </row>
    <row r="195" spans="1:5" ht="29" x14ac:dyDescent="0.35">
      <c r="A195" s="125">
        <v>46234</v>
      </c>
      <c r="B195" s="217" t="s">
        <v>1822</v>
      </c>
      <c r="C195" s="153">
        <v>1</v>
      </c>
      <c r="D195" s="428"/>
      <c r="E195" s="42" t="s">
        <v>1823</v>
      </c>
    </row>
    <row r="196" spans="1:5" x14ac:dyDescent="0.35">
      <c r="A196" s="125">
        <v>46234</v>
      </c>
      <c r="B196" s="217" t="s">
        <v>1877</v>
      </c>
      <c r="C196" s="153" t="s">
        <v>1878</v>
      </c>
      <c r="D196" s="428"/>
      <c r="E196" s="42" t="s">
        <v>1879</v>
      </c>
    </row>
    <row r="197" spans="1:5" ht="29" x14ac:dyDescent="0.35">
      <c r="A197" s="125">
        <v>46234</v>
      </c>
      <c r="B197" s="217" t="s">
        <v>1831</v>
      </c>
      <c r="C197" s="153" t="s">
        <v>252</v>
      </c>
      <c r="D197" s="428"/>
      <c r="E197" s="42" t="s">
        <v>1880</v>
      </c>
    </row>
    <row r="198" spans="1:5" x14ac:dyDescent="0.35">
      <c r="A198" s="125">
        <v>46234</v>
      </c>
      <c r="B198" s="217" t="s">
        <v>1598</v>
      </c>
      <c r="C198" s="153">
        <v>1</v>
      </c>
      <c r="D198" s="428"/>
      <c r="E198" s="108" t="s">
        <v>1598</v>
      </c>
    </row>
    <row r="199" spans="1:5" x14ac:dyDescent="0.35">
      <c r="A199" s="125">
        <v>46234</v>
      </c>
      <c r="B199" s="217" t="s">
        <v>1876</v>
      </c>
      <c r="C199" s="153" t="s">
        <v>252</v>
      </c>
      <c r="D199" s="428"/>
      <c r="E199" s="42" t="s">
        <v>1881</v>
      </c>
    </row>
    <row r="200" spans="1:5" x14ac:dyDescent="0.35">
      <c r="A200" s="125">
        <v>46234</v>
      </c>
      <c r="B200" s="217" t="s">
        <v>1594</v>
      </c>
      <c r="C200" s="488" t="s">
        <v>1597</v>
      </c>
      <c r="D200" s="428"/>
      <c r="E200" s="165" t="s">
        <v>1605</v>
      </c>
    </row>
    <row r="201" spans="1:5" x14ac:dyDescent="0.35">
      <c r="A201" s="277"/>
      <c r="B201" s="463"/>
      <c r="C201" s="464"/>
      <c r="D201" s="189"/>
      <c r="E201" s="188"/>
    </row>
    <row r="202" spans="1:5" x14ac:dyDescent="0.35">
      <c r="A202" s="125">
        <v>46237</v>
      </c>
      <c r="B202" s="217" t="s">
        <v>8</v>
      </c>
      <c r="C202" s="236">
        <v>1</v>
      </c>
      <c r="D202" s="427" t="s">
        <v>1049</v>
      </c>
      <c r="E202" s="166" t="s">
        <v>1035</v>
      </c>
    </row>
    <row r="203" spans="1:5" ht="29" x14ac:dyDescent="0.35">
      <c r="A203" s="125">
        <v>46237</v>
      </c>
      <c r="B203" s="217" t="s">
        <v>1896</v>
      </c>
      <c r="C203" s="226" t="s">
        <v>1126</v>
      </c>
      <c r="D203" s="428"/>
      <c r="E203" s="108" t="s">
        <v>1914</v>
      </c>
    </row>
    <row r="204" spans="1:5" x14ac:dyDescent="0.35">
      <c r="A204" s="125">
        <v>46237</v>
      </c>
      <c r="B204" s="217" t="s">
        <v>1897</v>
      </c>
      <c r="C204" s="226">
        <v>3</v>
      </c>
      <c r="D204" s="428"/>
      <c r="E204" s="42" t="s">
        <v>1916</v>
      </c>
    </row>
    <row r="205" spans="1:5" x14ac:dyDescent="0.35">
      <c r="A205" s="125">
        <v>46237</v>
      </c>
      <c r="B205" s="217" t="s">
        <v>1598</v>
      </c>
      <c r="C205" s="226">
        <v>1</v>
      </c>
      <c r="D205" s="428"/>
      <c r="E205" s="108" t="s">
        <v>1598</v>
      </c>
    </row>
    <row r="206" spans="1:5" x14ac:dyDescent="0.35">
      <c r="A206" s="125">
        <v>46237</v>
      </c>
      <c r="B206" s="217" t="s">
        <v>1903</v>
      </c>
      <c r="C206" s="226">
        <v>3</v>
      </c>
      <c r="D206" s="429"/>
      <c r="E206" s="42" t="s">
        <v>1904</v>
      </c>
    </row>
    <row r="207" spans="1:5" x14ac:dyDescent="0.35">
      <c r="A207" s="277"/>
      <c r="B207" s="463"/>
      <c r="C207" s="464"/>
      <c r="D207" s="189"/>
      <c r="E207" s="188"/>
    </row>
  </sheetData>
  <mergeCells count="25">
    <mergeCell ref="D185:D192"/>
    <mergeCell ref="D194:D200"/>
    <mergeCell ref="D202:D206"/>
    <mergeCell ref="D153:D161"/>
    <mergeCell ref="D163:D170"/>
    <mergeCell ref="D172:D183"/>
    <mergeCell ref="D79:D84"/>
    <mergeCell ref="D87:D96"/>
    <mergeCell ref="D146:D151"/>
    <mergeCell ref="D71:D77"/>
    <mergeCell ref="D61:D69"/>
    <mergeCell ref="D98:D104"/>
    <mergeCell ref="D106:D111"/>
    <mergeCell ref="D113:D118"/>
    <mergeCell ref="D128:D135"/>
    <mergeCell ref="D137:D144"/>
    <mergeCell ref="D120:D126"/>
    <mergeCell ref="D36:D43"/>
    <mergeCell ref="D45:D50"/>
    <mergeCell ref="D52:D59"/>
    <mergeCell ref="D3:D5"/>
    <mergeCell ref="D9:D15"/>
    <mergeCell ref="D17:D20"/>
    <mergeCell ref="D22:D27"/>
    <mergeCell ref="D29:D34"/>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A9DF7-2633-4AB3-A503-C4DF32AF5860}">
  <dimension ref="A1:E137"/>
  <sheetViews>
    <sheetView topLeftCell="A84" workbookViewId="0">
      <selection activeCell="D96" sqref="D96:D99"/>
    </sheetView>
  </sheetViews>
  <sheetFormatPr defaultRowHeight="14.5" x14ac:dyDescent="0.35"/>
  <cols>
    <col min="1" max="1" width="11.54296875" style="200" customWidth="1"/>
    <col min="2" max="2" width="41.7265625" style="441" customWidth="1"/>
    <col min="3" max="3" width="11.81640625" style="73" customWidth="1"/>
    <col min="4" max="4" width="16.26953125" style="73" customWidth="1"/>
    <col min="5" max="5" width="47.453125" style="200" customWidth="1"/>
    <col min="6" max="16384" width="8.7265625" style="200"/>
  </cols>
  <sheetData>
    <row r="1" spans="1:5" ht="29" x14ac:dyDescent="0.35">
      <c r="A1" s="552" t="s">
        <v>0</v>
      </c>
      <c r="B1" s="560" t="s">
        <v>1</v>
      </c>
      <c r="C1" s="183" t="s">
        <v>2</v>
      </c>
      <c r="D1" s="183" t="s">
        <v>3</v>
      </c>
      <c r="E1" s="552" t="s">
        <v>4</v>
      </c>
    </row>
    <row r="2" spans="1:5" x14ac:dyDescent="0.35">
      <c r="A2" s="553" t="s">
        <v>5</v>
      </c>
      <c r="B2" s="561"/>
      <c r="C2" s="186"/>
      <c r="D2" s="186"/>
      <c r="E2" s="553"/>
    </row>
    <row r="3" spans="1:5" x14ac:dyDescent="0.35">
      <c r="A3" s="554">
        <v>46204</v>
      </c>
      <c r="B3" s="562" t="s">
        <v>6</v>
      </c>
      <c r="C3" s="162">
        <v>2</v>
      </c>
      <c r="D3" s="322">
        <v>9</v>
      </c>
      <c r="E3" s="555"/>
    </row>
    <row r="4" spans="1:5" x14ac:dyDescent="0.35">
      <c r="A4" s="554">
        <v>46204</v>
      </c>
      <c r="B4" s="562" t="s">
        <v>7</v>
      </c>
      <c r="C4" s="162">
        <v>6</v>
      </c>
      <c r="D4" s="322"/>
      <c r="E4" s="555"/>
    </row>
    <row r="5" spans="1:5" x14ac:dyDescent="0.35">
      <c r="A5" s="554">
        <v>46204</v>
      </c>
      <c r="B5" s="562" t="s">
        <v>8</v>
      </c>
      <c r="C5" s="162">
        <v>1</v>
      </c>
      <c r="D5" s="322"/>
      <c r="E5" s="555"/>
    </row>
    <row r="6" spans="1:5" x14ac:dyDescent="0.35">
      <c r="A6" s="556"/>
      <c r="B6" s="472"/>
      <c r="C6" s="189"/>
      <c r="D6" s="189"/>
      <c r="E6" s="556"/>
    </row>
    <row r="7" spans="1:5" x14ac:dyDescent="0.35">
      <c r="A7" s="557" t="s">
        <v>9</v>
      </c>
      <c r="C7" s="28"/>
      <c r="D7" s="28"/>
    </row>
    <row r="8" spans="1:5" x14ac:dyDescent="0.35">
      <c r="A8" s="558">
        <v>46204</v>
      </c>
      <c r="B8" s="441" t="s">
        <v>1243</v>
      </c>
      <c r="C8" s="28">
        <v>2</v>
      </c>
      <c r="D8" s="315">
        <v>12</v>
      </c>
      <c r="E8" s="200" t="s">
        <v>1244</v>
      </c>
    </row>
    <row r="9" spans="1:5" x14ac:dyDescent="0.35">
      <c r="A9" s="558">
        <v>46204</v>
      </c>
      <c r="B9" s="441" t="s">
        <v>1245</v>
      </c>
      <c r="C9" s="28">
        <v>3</v>
      </c>
      <c r="D9" s="315"/>
      <c r="E9" s="200" t="s">
        <v>1246</v>
      </c>
    </row>
    <row r="10" spans="1:5" x14ac:dyDescent="0.35">
      <c r="A10" s="558">
        <v>46204</v>
      </c>
      <c r="B10" s="441" t="s">
        <v>1247</v>
      </c>
      <c r="C10" s="28">
        <v>5</v>
      </c>
      <c r="D10" s="315"/>
      <c r="E10" s="200" t="s">
        <v>1248</v>
      </c>
    </row>
    <row r="11" spans="1:5" ht="29" x14ac:dyDescent="0.35">
      <c r="A11" s="558">
        <v>46204</v>
      </c>
      <c r="B11" s="441" t="s">
        <v>42</v>
      </c>
      <c r="C11" s="28">
        <v>2</v>
      </c>
      <c r="D11" s="315"/>
      <c r="E11" s="551" t="s">
        <v>1249</v>
      </c>
    </row>
    <row r="12" spans="1:5" x14ac:dyDescent="0.35">
      <c r="A12" s="556"/>
      <c r="B12" s="472"/>
      <c r="C12" s="189"/>
      <c r="D12" s="189"/>
      <c r="E12" s="556"/>
    </row>
    <row r="13" spans="1:5" x14ac:dyDescent="0.35">
      <c r="C13" s="28"/>
      <c r="D13" s="28"/>
    </row>
    <row r="14" spans="1:5" x14ac:dyDescent="0.35">
      <c r="A14" s="558">
        <v>46205</v>
      </c>
      <c r="B14" s="441" t="s">
        <v>1250</v>
      </c>
      <c r="C14" s="28">
        <v>2</v>
      </c>
      <c r="D14" s="453">
        <v>10.5</v>
      </c>
      <c r="E14" s="200" t="s">
        <v>1251</v>
      </c>
    </row>
    <row r="15" spans="1:5" x14ac:dyDescent="0.35">
      <c r="A15" s="558">
        <v>46205</v>
      </c>
      <c r="B15" s="441" t="s">
        <v>1252</v>
      </c>
      <c r="C15" s="28">
        <v>4.5</v>
      </c>
      <c r="D15" s="453"/>
      <c r="E15" s="200" t="s">
        <v>1253</v>
      </c>
    </row>
    <row r="16" spans="1:5" x14ac:dyDescent="0.35">
      <c r="A16" s="558">
        <v>46205</v>
      </c>
      <c r="B16" s="441" t="s">
        <v>1254</v>
      </c>
      <c r="C16" s="28">
        <v>2</v>
      </c>
      <c r="D16" s="453"/>
      <c r="E16" s="200" t="s">
        <v>1255</v>
      </c>
    </row>
    <row r="17" spans="1:5" ht="29" x14ac:dyDescent="0.35">
      <c r="A17" s="558">
        <v>46205</v>
      </c>
      <c r="B17" s="441" t="s">
        <v>42</v>
      </c>
      <c r="C17" s="28">
        <v>2</v>
      </c>
      <c r="D17" s="453"/>
      <c r="E17" s="551" t="s">
        <v>1249</v>
      </c>
    </row>
    <row r="18" spans="1:5" x14ac:dyDescent="0.35">
      <c r="A18" s="556"/>
      <c r="B18" s="472"/>
      <c r="C18" s="189"/>
      <c r="D18" s="189"/>
      <c r="E18" s="556"/>
    </row>
    <row r="19" spans="1:5" x14ac:dyDescent="0.35">
      <c r="A19" s="558">
        <v>46206</v>
      </c>
      <c r="B19" s="441" t="s">
        <v>1256</v>
      </c>
      <c r="C19" s="28">
        <v>3</v>
      </c>
      <c r="D19" s="453">
        <v>9</v>
      </c>
      <c r="E19" s="200" t="s">
        <v>1255</v>
      </c>
    </row>
    <row r="20" spans="1:5" ht="58" x14ac:dyDescent="0.35">
      <c r="A20" s="558">
        <v>46206</v>
      </c>
      <c r="B20" s="441" t="s">
        <v>1257</v>
      </c>
      <c r="C20" s="28">
        <v>2</v>
      </c>
      <c r="D20" s="453"/>
      <c r="E20" s="239" t="s">
        <v>1258</v>
      </c>
    </row>
    <row r="21" spans="1:5" x14ac:dyDescent="0.35">
      <c r="A21" s="558">
        <v>46206</v>
      </c>
      <c r="B21" s="441" t="s">
        <v>1259</v>
      </c>
      <c r="C21" s="28">
        <v>2</v>
      </c>
      <c r="D21" s="453"/>
      <c r="E21" s="200" t="s">
        <v>1260</v>
      </c>
    </row>
    <row r="22" spans="1:5" ht="29" x14ac:dyDescent="0.35">
      <c r="A22" s="558">
        <v>46206</v>
      </c>
      <c r="B22" s="441" t="s">
        <v>42</v>
      </c>
      <c r="C22" s="28">
        <v>2</v>
      </c>
      <c r="D22" s="453"/>
      <c r="E22" s="551" t="s">
        <v>1249</v>
      </c>
    </row>
    <row r="23" spans="1:5" x14ac:dyDescent="0.35">
      <c r="A23" s="556"/>
      <c r="B23" s="472"/>
      <c r="C23" s="189"/>
      <c r="D23" s="189"/>
      <c r="E23" s="556"/>
    </row>
    <row r="24" spans="1:5" x14ac:dyDescent="0.35">
      <c r="A24" s="558">
        <v>46209</v>
      </c>
      <c r="B24" s="441" t="s">
        <v>1261</v>
      </c>
      <c r="C24" s="28">
        <v>2</v>
      </c>
      <c r="D24" s="453">
        <v>9</v>
      </c>
      <c r="E24" s="200" t="s">
        <v>1255</v>
      </c>
    </row>
    <row r="25" spans="1:5" x14ac:dyDescent="0.35">
      <c r="A25" s="558">
        <v>46209</v>
      </c>
      <c r="B25" s="441" t="s">
        <v>1262</v>
      </c>
      <c r="C25" s="28">
        <v>2</v>
      </c>
      <c r="D25" s="453"/>
      <c r="E25" s="239" t="s">
        <v>1263</v>
      </c>
    </row>
    <row r="26" spans="1:5" x14ac:dyDescent="0.35">
      <c r="A26" s="558">
        <v>46209</v>
      </c>
      <c r="B26" s="441" t="s">
        <v>1256</v>
      </c>
      <c r="C26" s="28">
        <v>3</v>
      </c>
      <c r="D26" s="453"/>
      <c r="E26" s="200" t="s">
        <v>1255</v>
      </c>
    </row>
    <row r="27" spans="1:5" ht="29" x14ac:dyDescent="0.35">
      <c r="A27" s="558">
        <v>46209</v>
      </c>
      <c r="B27" s="441" t="s">
        <v>42</v>
      </c>
      <c r="C27" s="28">
        <v>2</v>
      </c>
      <c r="D27" s="453"/>
      <c r="E27" s="551" t="s">
        <v>1249</v>
      </c>
    </row>
    <row r="28" spans="1:5" x14ac:dyDescent="0.35">
      <c r="A28" s="556"/>
      <c r="B28" s="472"/>
      <c r="C28" s="189"/>
      <c r="D28" s="189"/>
      <c r="E28" s="556"/>
    </row>
    <row r="29" spans="1:5" x14ac:dyDescent="0.35">
      <c r="A29" s="558">
        <v>46210</v>
      </c>
      <c r="B29" s="441" t="s">
        <v>1264</v>
      </c>
      <c r="C29" s="28">
        <v>2</v>
      </c>
      <c r="D29" s="453">
        <v>9</v>
      </c>
      <c r="E29" s="200" t="s">
        <v>1265</v>
      </c>
    </row>
    <row r="30" spans="1:5" x14ac:dyDescent="0.35">
      <c r="A30" s="558">
        <v>46210</v>
      </c>
      <c r="B30" s="441" t="s">
        <v>1256</v>
      </c>
      <c r="C30" s="28">
        <v>3</v>
      </c>
      <c r="D30" s="453"/>
      <c r="E30" s="200" t="s">
        <v>1255</v>
      </c>
    </row>
    <row r="31" spans="1:5" ht="29" x14ac:dyDescent="0.35">
      <c r="A31" s="558">
        <v>46210</v>
      </c>
      <c r="B31" s="441" t="s">
        <v>42</v>
      </c>
      <c r="C31" s="28">
        <v>2</v>
      </c>
      <c r="D31" s="453"/>
      <c r="E31" s="551" t="s">
        <v>1249</v>
      </c>
    </row>
    <row r="32" spans="1:5" ht="29" x14ac:dyDescent="0.35">
      <c r="A32" s="558">
        <v>46210</v>
      </c>
      <c r="B32" s="108" t="s">
        <v>1266</v>
      </c>
      <c r="C32" s="456">
        <v>2</v>
      </c>
      <c r="D32" s="453"/>
      <c r="E32" s="200" t="s">
        <v>1267</v>
      </c>
    </row>
    <row r="33" spans="1:5" x14ac:dyDescent="0.35">
      <c r="A33" s="556"/>
      <c r="B33" s="472"/>
      <c r="C33" s="189"/>
      <c r="D33" s="189"/>
      <c r="E33" s="556"/>
    </row>
    <row r="34" spans="1:5" ht="29" x14ac:dyDescent="0.35">
      <c r="A34" s="558">
        <v>46211</v>
      </c>
      <c r="B34" s="441" t="s">
        <v>1268</v>
      </c>
      <c r="C34" s="28">
        <v>2</v>
      </c>
      <c r="D34" s="453">
        <v>9</v>
      </c>
      <c r="E34" s="239" t="s">
        <v>1269</v>
      </c>
    </row>
    <row r="35" spans="1:5" x14ac:dyDescent="0.35">
      <c r="A35" s="558">
        <v>46211</v>
      </c>
      <c r="B35" s="441" t="s">
        <v>1270</v>
      </c>
      <c r="C35" s="28">
        <v>3</v>
      </c>
      <c r="D35" s="453"/>
      <c r="E35" s="200" t="s">
        <v>1255</v>
      </c>
    </row>
    <row r="36" spans="1:5" ht="29" x14ac:dyDescent="0.35">
      <c r="A36" s="558">
        <v>46211</v>
      </c>
      <c r="B36" s="108" t="s">
        <v>1271</v>
      </c>
      <c r="C36" s="456">
        <v>2</v>
      </c>
      <c r="D36" s="453"/>
      <c r="E36" s="200" t="s">
        <v>1267</v>
      </c>
    </row>
    <row r="37" spans="1:5" ht="29" x14ac:dyDescent="0.35">
      <c r="A37" s="558">
        <v>46211</v>
      </c>
      <c r="B37" s="441" t="s">
        <v>42</v>
      </c>
      <c r="C37" s="28">
        <v>2</v>
      </c>
      <c r="D37" s="453"/>
      <c r="E37" s="551" t="s">
        <v>1249</v>
      </c>
    </row>
    <row r="38" spans="1:5" x14ac:dyDescent="0.35">
      <c r="A38" s="556"/>
      <c r="B38" s="472"/>
      <c r="C38" s="189"/>
      <c r="D38" s="189"/>
      <c r="E38" s="556"/>
    </row>
    <row r="39" spans="1:5" ht="29" x14ac:dyDescent="0.35">
      <c r="A39" s="558">
        <v>46212</v>
      </c>
      <c r="B39" s="441" t="s">
        <v>42</v>
      </c>
      <c r="C39" s="28">
        <v>2</v>
      </c>
      <c r="D39" s="453">
        <v>9</v>
      </c>
      <c r="E39" s="551" t="s">
        <v>1249</v>
      </c>
    </row>
    <row r="40" spans="1:5" x14ac:dyDescent="0.35">
      <c r="A40" s="558">
        <v>46212</v>
      </c>
      <c r="B40" s="441" t="s">
        <v>1272</v>
      </c>
      <c r="C40" s="73">
        <v>3</v>
      </c>
      <c r="D40" s="453"/>
      <c r="E40" s="200" t="s">
        <v>1273</v>
      </c>
    </row>
    <row r="41" spans="1:5" x14ac:dyDescent="0.35">
      <c r="A41" s="558">
        <v>46212</v>
      </c>
      <c r="B41" s="441" t="s">
        <v>1256</v>
      </c>
      <c r="C41" s="73">
        <v>2</v>
      </c>
      <c r="D41" s="453"/>
      <c r="E41" s="200" t="s">
        <v>1274</v>
      </c>
    </row>
    <row r="42" spans="1:5" x14ac:dyDescent="0.35">
      <c r="A42" s="558">
        <v>46212</v>
      </c>
      <c r="B42" s="441" t="s">
        <v>1275</v>
      </c>
      <c r="C42" s="73">
        <v>2</v>
      </c>
      <c r="D42" s="453"/>
      <c r="E42" s="200" t="s">
        <v>1274</v>
      </c>
    </row>
    <row r="43" spans="1:5" x14ac:dyDescent="0.35">
      <c r="A43" s="556"/>
      <c r="B43" s="472"/>
      <c r="C43" s="189"/>
      <c r="D43" s="189"/>
      <c r="E43" s="556"/>
    </row>
    <row r="44" spans="1:5" ht="29" x14ac:dyDescent="0.35">
      <c r="A44" s="558">
        <v>46213</v>
      </c>
      <c r="B44" s="441" t="s">
        <v>42</v>
      </c>
      <c r="C44" s="28">
        <v>2</v>
      </c>
      <c r="D44" s="456">
        <v>9</v>
      </c>
      <c r="E44" s="551" t="s">
        <v>1249</v>
      </c>
    </row>
    <row r="45" spans="1:5" x14ac:dyDescent="0.35">
      <c r="A45" s="558">
        <v>46213</v>
      </c>
      <c r="B45" s="441" t="s">
        <v>1000</v>
      </c>
      <c r="C45" s="73">
        <v>3</v>
      </c>
      <c r="E45" s="200" t="s">
        <v>1001</v>
      </c>
    </row>
    <row r="46" spans="1:5" x14ac:dyDescent="0.35">
      <c r="A46" s="558">
        <v>46213</v>
      </c>
      <c r="B46" s="441" t="s">
        <v>1276</v>
      </c>
      <c r="C46" s="73">
        <v>2</v>
      </c>
      <c r="D46" s="456"/>
      <c r="E46" s="200" t="s">
        <v>1274</v>
      </c>
    </row>
    <row r="47" spans="1:5" x14ac:dyDescent="0.35">
      <c r="A47" s="558">
        <v>46213</v>
      </c>
      <c r="B47" s="441" t="s">
        <v>1275</v>
      </c>
      <c r="C47" s="73">
        <v>2</v>
      </c>
      <c r="D47" s="456"/>
      <c r="E47" s="200" t="s">
        <v>1277</v>
      </c>
    </row>
    <row r="48" spans="1:5" x14ac:dyDescent="0.35">
      <c r="A48" s="556"/>
      <c r="B48" s="472"/>
      <c r="C48" s="189"/>
      <c r="D48" s="189"/>
      <c r="E48" s="556"/>
    </row>
    <row r="49" spans="1:5" ht="29" x14ac:dyDescent="0.35">
      <c r="A49" s="558">
        <v>46216</v>
      </c>
      <c r="B49" s="441" t="s">
        <v>42</v>
      </c>
      <c r="C49" s="28">
        <v>2</v>
      </c>
      <c r="D49" s="453">
        <v>9</v>
      </c>
      <c r="E49" s="551" t="s">
        <v>1249</v>
      </c>
    </row>
    <row r="50" spans="1:5" x14ac:dyDescent="0.35">
      <c r="A50" s="558">
        <v>46216</v>
      </c>
      <c r="B50" s="441" t="s">
        <v>1278</v>
      </c>
      <c r="C50" s="73">
        <v>2</v>
      </c>
      <c r="D50" s="453"/>
      <c r="E50" s="200" t="s">
        <v>1279</v>
      </c>
    </row>
    <row r="51" spans="1:5" x14ac:dyDescent="0.35">
      <c r="A51" s="558">
        <v>46216</v>
      </c>
      <c r="B51" s="441" t="s">
        <v>1280</v>
      </c>
      <c r="C51" s="73">
        <v>3</v>
      </c>
      <c r="D51" s="453"/>
      <c r="E51" s="200" t="s">
        <v>1281</v>
      </c>
    </row>
    <row r="52" spans="1:5" x14ac:dyDescent="0.35">
      <c r="A52" s="558">
        <v>46216</v>
      </c>
      <c r="B52" s="441" t="s">
        <v>1282</v>
      </c>
      <c r="C52" s="73">
        <v>1</v>
      </c>
      <c r="D52" s="453"/>
      <c r="E52" s="200" t="s">
        <v>1277</v>
      </c>
    </row>
    <row r="53" spans="1:5" x14ac:dyDescent="0.35">
      <c r="A53" s="558">
        <v>46216</v>
      </c>
      <c r="B53" s="441" t="s">
        <v>1283</v>
      </c>
      <c r="C53" s="73">
        <v>1</v>
      </c>
      <c r="D53" s="453"/>
      <c r="E53" s="200" t="s">
        <v>1277</v>
      </c>
    </row>
    <row r="54" spans="1:5" x14ac:dyDescent="0.35">
      <c r="A54" s="556"/>
      <c r="B54" s="472"/>
      <c r="C54" s="189"/>
      <c r="D54" s="189"/>
      <c r="E54" s="556"/>
    </row>
    <row r="55" spans="1:5" ht="29" x14ac:dyDescent="0.35">
      <c r="A55" s="558">
        <v>46217</v>
      </c>
      <c r="B55" s="441" t="s">
        <v>42</v>
      </c>
      <c r="C55" s="28">
        <v>2</v>
      </c>
      <c r="D55" s="453">
        <v>9</v>
      </c>
      <c r="E55" s="551" t="s">
        <v>1249</v>
      </c>
    </row>
    <row r="56" spans="1:5" x14ac:dyDescent="0.35">
      <c r="A56" s="558">
        <v>46217</v>
      </c>
      <c r="B56" s="441" t="s">
        <v>1283</v>
      </c>
      <c r="C56" s="73">
        <v>1</v>
      </c>
      <c r="D56" s="453"/>
      <c r="E56" s="200" t="s">
        <v>1277</v>
      </c>
    </row>
    <row r="57" spans="1:5" x14ac:dyDescent="0.35">
      <c r="A57" s="558">
        <v>46217</v>
      </c>
      <c r="B57" s="441" t="s">
        <v>1284</v>
      </c>
      <c r="C57" s="73">
        <v>2</v>
      </c>
      <c r="D57" s="453"/>
      <c r="E57" s="200" t="s">
        <v>1285</v>
      </c>
    </row>
    <row r="58" spans="1:5" x14ac:dyDescent="0.35">
      <c r="A58" s="558">
        <v>46217</v>
      </c>
      <c r="B58" s="441" t="s">
        <v>1286</v>
      </c>
      <c r="C58" s="73">
        <v>2</v>
      </c>
      <c r="D58" s="453"/>
      <c r="E58" s="200" t="s">
        <v>1287</v>
      </c>
    </row>
    <row r="59" spans="1:5" x14ac:dyDescent="0.35">
      <c r="A59" s="558">
        <v>46217</v>
      </c>
      <c r="B59" s="441" t="s">
        <v>1280</v>
      </c>
      <c r="C59" s="73">
        <v>2</v>
      </c>
      <c r="D59" s="453"/>
      <c r="E59" s="200" t="s">
        <v>1281</v>
      </c>
    </row>
    <row r="60" spans="1:5" x14ac:dyDescent="0.35">
      <c r="A60" s="556"/>
      <c r="B60" s="472"/>
      <c r="C60" s="189"/>
      <c r="D60" s="189"/>
      <c r="E60" s="556"/>
    </row>
    <row r="61" spans="1:5" ht="29" x14ac:dyDescent="0.35">
      <c r="A61" s="558">
        <v>46218</v>
      </c>
      <c r="B61" s="441" t="s">
        <v>42</v>
      </c>
      <c r="C61" s="28">
        <v>2</v>
      </c>
      <c r="D61" s="456">
        <v>9</v>
      </c>
      <c r="E61" s="551" t="s">
        <v>1249</v>
      </c>
    </row>
    <row r="62" spans="1:5" x14ac:dyDescent="0.35">
      <c r="A62" s="558">
        <v>46218</v>
      </c>
      <c r="B62" s="441" t="s">
        <v>1288</v>
      </c>
      <c r="C62" s="73">
        <v>2</v>
      </c>
    </row>
    <row r="63" spans="1:5" x14ac:dyDescent="0.35">
      <c r="A63" s="558">
        <v>46218</v>
      </c>
      <c r="B63" s="441" t="s">
        <v>1289</v>
      </c>
      <c r="C63" s="73">
        <v>0.5</v>
      </c>
    </row>
    <row r="64" spans="1:5" x14ac:dyDescent="0.35">
      <c r="A64" s="558">
        <v>46218</v>
      </c>
      <c r="B64" s="441" t="s">
        <v>1290</v>
      </c>
      <c r="C64" s="73">
        <v>0.5</v>
      </c>
    </row>
    <row r="65" spans="1:5" x14ac:dyDescent="0.35">
      <c r="A65" s="558">
        <v>46218</v>
      </c>
      <c r="B65" s="441" t="s">
        <v>1291</v>
      </c>
      <c r="C65" s="73">
        <v>4</v>
      </c>
      <c r="E65" s="200" t="s">
        <v>1292</v>
      </c>
    </row>
    <row r="66" spans="1:5" x14ac:dyDescent="0.35">
      <c r="A66" s="556"/>
      <c r="B66" s="472"/>
      <c r="C66" s="189"/>
      <c r="D66" s="189"/>
      <c r="E66" s="556"/>
    </row>
    <row r="67" spans="1:5" ht="29" x14ac:dyDescent="0.35">
      <c r="A67" s="558">
        <v>46219</v>
      </c>
      <c r="B67" s="441" t="s">
        <v>42</v>
      </c>
      <c r="C67" s="28">
        <v>2</v>
      </c>
      <c r="D67" s="453">
        <v>9</v>
      </c>
      <c r="E67" s="551" t="s">
        <v>1249</v>
      </c>
    </row>
    <row r="68" spans="1:5" x14ac:dyDescent="0.35">
      <c r="A68" s="558">
        <v>46219</v>
      </c>
      <c r="B68" s="441" t="s">
        <v>1293</v>
      </c>
      <c r="C68" s="73">
        <v>4</v>
      </c>
      <c r="D68" s="453"/>
      <c r="E68" s="200" t="s">
        <v>1294</v>
      </c>
    </row>
    <row r="69" spans="1:5" x14ac:dyDescent="0.35">
      <c r="A69" s="558">
        <v>46219</v>
      </c>
      <c r="B69" s="441" t="s">
        <v>1295</v>
      </c>
      <c r="C69" s="73">
        <v>2</v>
      </c>
      <c r="D69" s="453"/>
      <c r="E69" s="200" t="s">
        <v>1296</v>
      </c>
    </row>
    <row r="70" spans="1:5" x14ac:dyDescent="0.35">
      <c r="A70" s="558">
        <v>46219</v>
      </c>
      <c r="B70" s="441" t="s">
        <v>1297</v>
      </c>
      <c r="C70" s="73">
        <v>0.25</v>
      </c>
      <c r="D70" s="453"/>
    </row>
    <row r="71" spans="1:5" x14ac:dyDescent="0.35">
      <c r="A71" s="558">
        <v>46219</v>
      </c>
      <c r="B71" s="441" t="s">
        <v>1298</v>
      </c>
      <c r="C71" s="73">
        <v>0.75</v>
      </c>
      <c r="D71" s="453"/>
    </row>
    <row r="72" spans="1:5" x14ac:dyDescent="0.35">
      <c r="A72" s="556"/>
      <c r="B72" s="472"/>
      <c r="C72" s="189"/>
      <c r="D72" s="189"/>
      <c r="E72" s="556"/>
    </row>
    <row r="73" spans="1:5" ht="29" x14ac:dyDescent="0.35">
      <c r="A73" s="558">
        <v>46220</v>
      </c>
      <c r="B73" s="441" t="s">
        <v>42</v>
      </c>
      <c r="C73" s="28">
        <v>2</v>
      </c>
      <c r="D73" s="456">
        <v>9</v>
      </c>
      <c r="E73" s="551" t="s">
        <v>1249</v>
      </c>
    </row>
    <row r="74" spans="1:5" x14ac:dyDescent="0.35">
      <c r="A74" s="558">
        <v>46220</v>
      </c>
      <c r="B74" s="441" t="s">
        <v>1299</v>
      </c>
      <c r="C74" s="73">
        <v>4</v>
      </c>
      <c r="D74" s="456"/>
      <c r="E74" s="200" t="s">
        <v>1300</v>
      </c>
    </row>
    <row r="75" spans="1:5" x14ac:dyDescent="0.35">
      <c r="A75" s="558">
        <v>46220</v>
      </c>
      <c r="B75" s="441" t="s">
        <v>1301</v>
      </c>
      <c r="C75" s="73">
        <v>2</v>
      </c>
      <c r="D75" s="456"/>
    </row>
    <row r="76" spans="1:5" x14ac:dyDescent="0.35">
      <c r="A76" s="558">
        <v>46220</v>
      </c>
      <c r="B76" s="441" t="s">
        <v>1302</v>
      </c>
      <c r="C76" s="73">
        <v>1</v>
      </c>
    </row>
    <row r="77" spans="1:5" x14ac:dyDescent="0.35">
      <c r="A77" s="556"/>
      <c r="B77" s="472"/>
      <c r="C77" s="189"/>
      <c r="D77" s="189"/>
      <c r="E77" s="556"/>
    </row>
    <row r="78" spans="1:5" ht="29" x14ac:dyDescent="0.35">
      <c r="A78" s="558">
        <v>46223</v>
      </c>
      <c r="B78" s="441" t="s">
        <v>42</v>
      </c>
      <c r="C78" s="28">
        <v>2</v>
      </c>
      <c r="D78" s="456">
        <v>9</v>
      </c>
      <c r="E78" s="551" t="s">
        <v>1249</v>
      </c>
    </row>
    <row r="79" spans="1:5" x14ac:dyDescent="0.35">
      <c r="A79" s="558">
        <v>46223</v>
      </c>
      <c r="B79" s="441" t="s">
        <v>1299</v>
      </c>
      <c r="C79" s="73">
        <v>3</v>
      </c>
      <c r="D79" s="456"/>
    </row>
    <row r="80" spans="1:5" x14ac:dyDescent="0.35">
      <c r="A80" s="558">
        <v>46223</v>
      </c>
      <c r="B80" s="441" t="s">
        <v>1303</v>
      </c>
      <c r="C80" s="73">
        <v>2</v>
      </c>
      <c r="D80" s="456"/>
    </row>
    <row r="81" spans="1:5" x14ac:dyDescent="0.35">
      <c r="A81" s="558">
        <v>46223</v>
      </c>
      <c r="B81" s="441" t="s">
        <v>1304</v>
      </c>
      <c r="C81" s="73">
        <v>2</v>
      </c>
      <c r="D81" s="456"/>
    </row>
    <row r="82" spans="1:5" x14ac:dyDescent="0.35">
      <c r="A82" s="556"/>
      <c r="B82" s="472"/>
      <c r="C82" s="189"/>
      <c r="D82" s="189"/>
      <c r="E82" s="556"/>
    </row>
    <row r="83" spans="1:5" ht="29" x14ac:dyDescent="0.35">
      <c r="A83" s="558">
        <v>46224</v>
      </c>
      <c r="B83" s="441" t="s">
        <v>42</v>
      </c>
      <c r="C83" s="28">
        <v>2</v>
      </c>
      <c r="D83" s="456">
        <v>9</v>
      </c>
      <c r="E83" s="551" t="s">
        <v>1249</v>
      </c>
    </row>
    <row r="84" spans="1:5" x14ac:dyDescent="0.35">
      <c r="A84" s="558">
        <v>46224</v>
      </c>
      <c r="B84" s="441" t="s">
        <v>1299</v>
      </c>
      <c r="C84" s="73">
        <v>6</v>
      </c>
      <c r="D84" s="456"/>
    </row>
    <row r="85" spans="1:5" x14ac:dyDescent="0.35">
      <c r="A85" s="558">
        <v>46224</v>
      </c>
      <c r="B85" s="441" t="s">
        <v>1304</v>
      </c>
      <c r="C85" s="73">
        <v>2</v>
      </c>
      <c r="D85" s="456"/>
    </row>
    <row r="86" spans="1:5" x14ac:dyDescent="0.35">
      <c r="A86" s="556"/>
      <c r="B86" s="472"/>
      <c r="C86" s="189"/>
      <c r="D86" s="189"/>
      <c r="E86" s="556"/>
    </row>
    <row r="87" spans="1:5" ht="29" x14ac:dyDescent="0.35">
      <c r="A87" s="558">
        <v>46225</v>
      </c>
      <c r="B87" s="441" t="s">
        <v>42</v>
      </c>
      <c r="C87" s="28">
        <v>2</v>
      </c>
      <c r="D87" s="456">
        <v>9</v>
      </c>
      <c r="E87" s="551" t="s">
        <v>1249</v>
      </c>
    </row>
    <row r="88" spans="1:5" x14ac:dyDescent="0.35">
      <c r="A88" s="558">
        <v>46225</v>
      </c>
      <c r="B88" s="441" t="s">
        <v>1305</v>
      </c>
      <c r="C88" s="28">
        <v>1</v>
      </c>
      <c r="D88" s="456">
        <v>9</v>
      </c>
      <c r="E88" s="551" t="s">
        <v>1306</v>
      </c>
    </row>
    <row r="89" spans="1:5" x14ac:dyDescent="0.35">
      <c r="A89" s="558">
        <v>46225</v>
      </c>
      <c r="B89" s="441" t="s">
        <v>1299</v>
      </c>
      <c r="C89" s="73">
        <v>5</v>
      </c>
      <c r="D89" s="456"/>
    </row>
    <row r="90" spans="1:5" x14ac:dyDescent="0.35">
      <c r="A90" s="558">
        <v>46225</v>
      </c>
      <c r="B90" s="441" t="s">
        <v>1299</v>
      </c>
      <c r="C90" s="73">
        <v>1</v>
      </c>
      <c r="D90" s="456"/>
      <c r="E90" s="200" t="s">
        <v>1307</v>
      </c>
    </row>
    <row r="92" spans="1:5" ht="29" x14ac:dyDescent="0.35">
      <c r="A92" s="558">
        <v>46226</v>
      </c>
      <c r="B92" s="441" t="s">
        <v>42</v>
      </c>
      <c r="C92" s="28">
        <v>2</v>
      </c>
      <c r="D92" s="456">
        <v>9</v>
      </c>
      <c r="E92" s="551" t="s">
        <v>1249</v>
      </c>
    </row>
    <row r="93" spans="1:5" x14ac:dyDescent="0.35">
      <c r="A93" s="558">
        <v>46226</v>
      </c>
      <c r="B93" s="441" t="s">
        <v>1308</v>
      </c>
      <c r="C93" s="28">
        <v>1</v>
      </c>
      <c r="D93" s="456">
        <v>9</v>
      </c>
      <c r="E93" s="551" t="s">
        <v>1306</v>
      </c>
    </row>
    <row r="94" spans="1:5" x14ac:dyDescent="0.35">
      <c r="A94" s="558">
        <v>46226</v>
      </c>
      <c r="B94" s="441" t="s">
        <v>1299</v>
      </c>
      <c r="C94" s="73">
        <v>6</v>
      </c>
      <c r="D94" s="456"/>
      <c r="E94" s="200" t="s">
        <v>1309</v>
      </c>
    </row>
    <row r="95" spans="1:5" x14ac:dyDescent="0.35">
      <c r="A95" s="556"/>
      <c r="B95" s="472"/>
      <c r="C95" s="189"/>
      <c r="D95" s="189"/>
      <c r="E95" s="556"/>
    </row>
    <row r="96" spans="1:5" ht="29" x14ac:dyDescent="0.35">
      <c r="A96" s="559" t="s">
        <v>1310</v>
      </c>
      <c r="B96" s="441" t="s">
        <v>42</v>
      </c>
      <c r="C96" s="28">
        <v>2</v>
      </c>
      <c r="D96" s="453">
        <v>9</v>
      </c>
      <c r="E96" s="551" t="s">
        <v>1249</v>
      </c>
    </row>
    <row r="97" spans="1:5" x14ac:dyDescent="0.35">
      <c r="A97" s="559"/>
      <c r="B97" s="441" t="s">
        <v>1299</v>
      </c>
      <c r="C97" s="73">
        <v>6</v>
      </c>
      <c r="D97" s="453"/>
      <c r="E97" s="200" t="s">
        <v>1311</v>
      </c>
    </row>
    <row r="98" spans="1:5" ht="29" x14ac:dyDescent="0.35">
      <c r="A98" s="559"/>
      <c r="B98" s="441" t="s">
        <v>1312</v>
      </c>
      <c r="C98" s="28">
        <v>0.5</v>
      </c>
      <c r="D98" s="453"/>
      <c r="E98" s="551" t="s">
        <v>1249</v>
      </c>
    </row>
    <row r="99" spans="1:5" ht="29" x14ac:dyDescent="0.35">
      <c r="A99" s="559"/>
      <c r="B99" s="441" t="s">
        <v>1313</v>
      </c>
      <c r="C99" s="28">
        <v>0.5</v>
      </c>
      <c r="D99" s="453"/>
      <c r="E99" s="551" t="s">
        <v>1249</v>
      </c>
    </row>
    <row r="100" spans="1:5" x14ac:dyDescent="0.35">
      <c r="A100" s="556"/>
      <c r="B100" s="472"/>
      <c r="C100" s="189"/>
      <c r="D100" s="189"/>
      <c r="E100" s="556"/>
    </row>
    <row r="101" spans="1:5" ht="29" x14ac:dyDescent="0.35">
      <c r="A101" s="452">
        <v>46230</v>
      </c>
      <c r="B101" s="441" t="s">
        <v>42</v>
      </c>
      <c r="C101" s="28">
        <v>2</v>
      </c>
      <c r="D101" s="453">
        <v>9</v>
      </c>
      <c r="E101" s="551" t="s">
        <v>1249</v>
      </c>
    </row>
    <row r="102" spans="1:5" x14ac:dyDescent="0.35">
      <c r="A102" s="452">
        <v>46230</v>
      </c>
      <c r="B102" s="550" t="s">
        <v>1859</v>
      </c>
      <c r="C102" s="549">
        <v>1.5</v>
      </c>
      <c r="D102" s="453"/>
      <c r="E102" s="455" t="s">
        <v>1682</v>
      </c>
    </row>
    <row r="103" spans="1:5" x14ac:dyDescent="0.35">
      <c r="A103" s="452">
        <v>46230</v>
      </c>
      <c r="B103" s="550" t="s">
        <v>1681</v>
      </c>
      <c r="C103" s="549">
        <v>3</v>
      </c>
      <c r="D103" s="453"/>
      <c r="E103" s="455" t="s">
        <v>1683</v>
      </c>
    </row>
    <row r="104" spans="1:5" x14ac:dyDescent="0.35">
      <c r="A104" s="452">
        <v>46230</v>
      </c>
      <c r="B104" s="441" t="s">
        <v>1574</v>
      </c>
      <c r="C104" s="73">
        <v>1</v>
      </c>
      <c r="D104" s="453"/>
      <c r="E104" s="200" t="s">
        <v>1684</v>
      </c>
    </row>
    <row r="105" spans="1:5" ht="29" x14ac:dyDescent="0.35">
      <c r="A105" s="452">
        <v>46230</v>
      </c>
      <c r="B105" s="441" t="s">
        <v>1685</v>
      </c>
      <c r="C105" s="73">
        <v>1.5</v>
      </c>
      <c r="D105" s="453"/>
      <c r="E105" s="239" t="s">
        <v>1686</v>
      </c>
    </row>
    <row r="106" spans="1:5" x14ac:dyDescent="0.35">
      <c r="A106" s="556"/>
      <c r="B106" s="472"/>
      <c r="C106" s="189"/>
      <c r="D106" s="189"/>
      <c r="E106" s="556"/>
    </row>
    <row r="107" spans="1:5" ht="29" x14ac:dyDescent="0.35">
      <c r="A107" s="452">
        <v>46231</v>
      </c>
      <c r="B107" s="441" t="s">
        <v>42</v>
      </c>
      <c r="C107" s="28">
        <v>2</v>
      </c>
      <c r="D107" s="453">
        <v>9</v>
      </c>
      <c r="E107" s="551" t="s">
        <v>1249</v>
      </c>
    </row>
    <row r="108" spans="1:5" ht="29" x14ac:dyDescent="0.35">
      <c r="A108" s="452">
        <v>46231</v>
      </c>
      <c r="B108" s="441" t="s">
        <v>1687</v>
      </c>
      <c r="C108" s="73">
        <v>5</v>
      </c>
      <c r="D108" s="453"/>
      <c r="E108" s="239" t="s">
        <v>1688</v>
      </c>
    </row>
    <row r="109" spans="1:5" x14ac:dyDescent="0.35">
      <c r="A109" s="452">
        <v>46231</v>
      </c>
      <c r="B109" s="441" t="s">
        <v>1689</v>
      </c>
      <c r="C109" s="73">
        <v>1</v>
      </c>
      <c r="D109" s="453"/>
    </row>
    <row r="110" spans="1:5" x14ac:dyDescent="0.35">
      <c r="A110" s="452">
        <v>46231</v>
      </c>
      <c r="B110" s="441" t="s">
        <v>1689</v>
      </c>
      <c r="C110" s="73">
        <v>1</v>
      </c>
      <c r="D110" s="453"/>
      <c r="E110" s="200" t="s">
        <v>1281</v>
      </c>
    </row>
    <row r="111" spans="1:5" x14ac:dyDescent="0.35">
      <c r="A111" s="556"/>
      <c r="B111" s="472"/>
      <c r="C111" s="189"/>
      <c r="D111" s="189"/>
      <c r="E111" s="556"/>
    </row>
    <row r="112" spans="1:5" ht="29" x14ac:dyDescent="0.35">
      <c r="A112" s="452">
        <v>46232</v>
      </c>
      <c r="B112" s="441" t="s">
        <v>42</v>
      </c>
      <c r="C112" s="28">
        <v>2</v>
      </c>
      <c r="D112" s="456">
        <v>9</v>
      </c>
      <c r="E112" s="551" t="s">
        <v>1249</v>
      </c>
    </row>
    <row r="113" spans="1:5" x14ac:dyDescent="0.35">
      <c r="A113" s="452">
        <v>46232</v>
      </c>
      <c r="B113" s="550" t="s">
        <v>1861</v>
      </c>
      <c r="C113" s="549">
        <v>2</v>
      </c>
      <c r="D113" s="456"/>
      <c r="E113" s="455" t="s">
        <v>1862</v>
      </c>
    </row>
    <row r="114" spans="1:5" x14ac:dyDescent="0.35">
      <c r="A114" s="452">
        <v>46232</v>
      </c>
      <c r="B114" s="550" t="s">
        <v>1681</v>
      </c>
      <c r="C114" s="549">
        <v>3</v>
      </c>
      <c r="D114" s="456"/>
      <c r="E114" s="455" t="s">
        <v>1683</v>
      </c>
    </row>
    <row r="115" spans="1:5" ht="29" x14ac:dyDescent="0.35">
      <c r="A115" s="452">
        <v>46232</v>
      </c>
      <c r="B115" s="441" t="s">
        <v>1685</v>
      </c>
      <c r="C115" s="73">
        <v>2</v>
      </c>
      <c r="D115" s="456"/>
      <c r="E115" s="239" t="s">
        <v>1686</v>
      </c>
    </row>
    <row r="116" spans="1:5" x14ac:dyDescent="0.35">
      <c r="A116" s="556"/>
      <c r="B116" s="472"/>
      <c r="C116" s="189"/>
      <c r="D116" s="189"/>
      <c r="E116" s="556"/>
    </row>
    <row r="117" spans="1:5" ht="29" x14ac:dyDescent="0.35">
      <c r="A117" s="452">
        <v>46233</v>
      </c>
      <c r="B117" s="441" t="s">
        <v>42</v>
      </c>
      <c r="C117" s="28">
        <v>2</v>
      </c>
      <c r="D117" s="456">
        <v>9</v>
      </c>
      <c r="E117" s="551" t="s">
        <v>1249</v>
      </c>
    </row>
    <row r="118" spans="1:5" x14ac:dyDescent="0.35">
      <c r="A118" s="452">
        <v>46233</v>
      </c>
      <c r="B118" s="550" t="s">
        <v>1860</v>
      </c>
      <c r="C118" s="549">
        <v>2</v>
      </c>
      <c r="D118" s="456"/>
      <c r="E118" s="455" t="s">
        <v>1682</v>
      </c>
    </row>
    <row r="119" spans="1:5" x14ac:dyDescent="0.35">
      <c r="A119" s="452">
        <v>46233</v>
      </c>
      <c r="B119" s="550" t="s">
        <v>1681</v>
      </c>
      <c r="C119" s="549">
        <v>3</v>
      </c>
      <c r="D119" s="456"/>
      <c r="E119" s="455" t="s">
        <v>1683</v>
      </c>
    </row>
    <row r="120" spans="1:5" ht="29" x14ac:dyDescent="0.35">
      <c r="A120" s="452">
        <v>46233</v>
      </c>
      <c r="B120" s="441" t="s">
        <v>1685</v>
      </c>
      <c r="C120" s="73">
        <v>2</v>
      </c>
      <c r="D120" s="456"/>
      <c r="E120" s="239" t="s">
        <v>1686</v>
      </c>
    </row>
    <row r="121" spans="1:5" x14ac:dyDescent="0.35">
      <c r="A121" s="556"/>
      <c r="B121" s="472"/>
      <c r="C121" s="189"/>
      <c r="D121" s="189"/>
      <c r="E121" s="556"/>
    </row>
    <row r="122" spans="1:5" ht="29" x14ac:dyDescent="0.35">
      <c r="A122" s="452">
        <v>46234</v>
      </c>
      <c r="B122" s="441" t="s">
        <v>42</v>
      </c>
      <c r="C122" s="28">
        <v>2</v>
      </c>
      <c r="D122" s="489">
        <v>9</v>
      </c>
      <c r="E122" s="551" t="s">
        <v>1249</v>
      </c>
    </row>
    <row r="123" spans="1:5" x14ac:dyDescent="0.35">
      <c r="A123" s="452">
        <v>46234</v>
      </c>
      <c r="B123" s="550" t="s">
        <v>1865</v>
      </c>
      <c r="C123" s="549">
        <v>2</v>
      </c>
      <c r="D123" s="490"/>
      <c r="E123" s="455" t="s">
        <v>1867</v>
      </c>
    </row>
    <row r="124" spans="1:5" x14ac:dyDescent="0.35">
      <c r="A124" s="452">
        <v>46234</v>
      </c>
      <c r="B124" s="441" t="s">
        <v>1863</v>
      </c>
      <c r="C124" s="28">
        <v>1</v>
      </c>
      <c r="D124" s="490"/>
      <c r="E124" s="551"/>
    </row>
    <row r="125" spans="1:5" x14ac:dyDescent="0.35">
      <c r="A125" s="452">
        <v>46234</v>
      </c>
      <c r="B125" s="441" t="s">
        <v>1985</v>
      </c>
      <c r="C125" s="28">
        <v>1</v>
      </c>
      <c r="D125" s="490"/>
      <c r="E125" s="551" t="s">
        <v>1882</v>
      </c>
    </row>
    <row r="126" spans="1:5" ht="29" x14ac:dyDescent="0.35">
      <c r="A126" s="452">
        <v>46234</v>
      </c>
      <c r="B126" s="441" t="s">
        <v>1685</v>
      </c>
      <c r="C126" s="73">
        <v>2</v>
      </c>
      <c r="D126" s="490"/>
      <c r="E126" s="239" t="s">
        <v>1686</v>
      </c>
    </row>
    <row r="127" spans="1:5" x14ac:dyDescent="0.35">
      <c r="A127" s="452">
        <v>46234</v>
      </c>
      <c r="B127" s="550" t="s">
        <v>1866</v>
      </c>
      <c r="C127" s="549">
        <v>1</v>
      </c>
      <c r="D127" s="491"/>
      <c r="E127" s="455"/>
    </row>
    <row r="128" spans="1:5" x14ac:dyDescent="0.35">
      <c r="A128" s="556"/>
      <c r="B128" s="472"/>
      <c r="C128" s="189"/>
      <c r="D128" s="189"/>
      <c r="E128" s="556"/>
    </row>
    <row r="129" spans="1:5" ht="29" x14ac:dyDescent="0.35">
      <c r="A129" s="452">
        <v>46237</v>
      </c>
      <c r="B129" s="441" t="s">
        <v>42</v>
      </c>
      <c r="C129" s="28">
        <v>2</v>
      </c>
      <c r="D129" s="548">
        <v>9</v>
      </c>
      <c r="E129" s="551" t="s">
        <v>1249</v>
      </c>
    </row>
    <row r="130" spans="1:5" x14ac:dyDescent="0.35">
      <c r="A130" s="452">
        <v>46237</v>
      </c>
      <c r="B130" s="550" t="s">
        <v>1253</v>
      </c>
      <c r="C130" s="549">
        <v>4</v>
      </c>
      <c r="D130" s="540"/>
      <c r="E130" s="455" t="s">
        <v>1982</v>
      </c>
    </row>
    <row r="131" spans="1:5" x14ac:dyDescent="0.35">
      <c r="A131" s="452">
        <v>46237</v>
      </c>
      <c r="B131" s="441" t="s">
        <v>1983</v>
      </c>
      <c r="C131" s="73">
        <v>3</v>
      </c>
    </row>
    <row r="132" spans="1:5" x14ac:dyDescent="0.35">
      <c r="A132" s="556"/>
      <c r="B132" s="472"/>
      <c r="C132" s="189"/>
      <c r="D132" s="189"/>
      <c r="E132" s="556"/>
    </row>
    <row r="133" spans="1:5" ht="29" x14ac:dyDescent="0.35">
      <c r="A133" s="452">
        <v>46237</v>
      </c>
      <c r="B133" s="441" t="s">
        <v>42</v>
      </c>
      <c r="C133" s="28">
        <v>2</v>
      </c>
      <c r="D133" s="489">
        <v>9</v>
      </c>
      <c r="E133" s="551" t="s">
        <v>1249</v>
      </c>
    </row>
    <row r="134" spans="1:5" x14ac:dyDescent="0.35">
      <c r="A134" s="452">
        <v>46237</v>
      </c>
      <c r="B134" s="550" t="s">
        <v>1253</v>
      </c>
      <c r="C134" s="549">
        <v>4</v>
      </c>
      <c r="D134" s="490"/>
      <c r="E134" s="455" t="s">
        <v>1982</v>
      </c>
    </row>
    <row r="135" spans="1:5" x14ac:dyDescent="0.35">
      <c r="A135" s="452">
        <v>46237</v>
      </c>
      <c r="B135" s="441" t="s">
        <v>1983</v>
      </c>
      <c r="C135" s="73">
        <v>1.5</v>
      </c>
      <c r="D135" s="490"/>
      <c r="E135" s="200" t="s">
        <v>1986</v>
      </c>
    </row>
    <row r="136" spans="1:5" x14ac:dyDescent="0.35">
      <c r="A136" s="452">
        <v>46237</v>
      </c>
      <c r="B136" s="441" t="s">
        <v>1984</v>
      </c>
      <c r="C136" s="73">
        <v>1.5</v>
      </c>
      <c r="D136" s="491"/>
    </row>
    <row r="137" spans="1:5" x14ac:dyDescent="0.35">
      <c r="A137" s="556"/>
      <c r="B137" s="472"/>
      <c r="C137" s="189"/>
      <c r="D137" s="189"/>
      <c r="E137" s="556"/>
    </row>
  </sheetData>
  <mergeCells count="17">
    <mergeCell ref="D101:D105"/>
    <mergeCell ref="D107:D110"/>
    <mergeCell ref="D122:D127"/>
    <mergeCell ref="D133:D136"/>
    <mergeCell ref="D29:D32"/>
    <mergeCell ref="D34:D37"/>
    <mergeCell ref="D39:D42"/>
    <mergeCell ref="D3:D5"/>
    <mergeCell ref="D14:D17"/>
    <mergeCell ref="D8:D11"/>
    <mergeCell ref="D19:D22"/>
    <mergeCell ref="D24:D27"/>
    <mergeCell ref="D96:D99"/>
    <mergeCell ref="A96:A99"/>
    <mergeCell ref="D55:D59"/>
    <mergeCell ref="D67:D71"/>
    <mergeCell ref="D49:D53"/>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3C6B0-5472-41EA-B57A-B9E51D0C67BD}">
  <dimension ref="A1:E102"/>
  <sheetViews>
    <sheetView topLeftCell="A24" workbookViewId="0">
      <selection activeCell="B42" sqref="B42"/>
    </sheetView>
  </sheetViews>
  <sheetFormatPr defaultRowHeight="14.5" x14ac:dyDescent="0.35"/>
  <cols>
    <col min="1" max="1" width="15.26953125" customWidth="1"/>
    <col min="2" max="2" width="41.7265625" customWidth="1"/>
    <col min="3" max="3" width="11.81640625" customWidth="1"/>
    <col min="4" max="4" width="16.26953125" customWidth="1"/>
    <col min="5" max="5" width="45" customWidth="1"/>
  </cols>
  <sheetData>
    <row r="1" spans="1:5" ht="29" x14ac:dyDescent="0.35">
      <c r="A1" s="1" t="s">
        <v>0</v>
      </c>
      <c r="B1" s="1" t="s">
        <v>1</v>
      </c>
      <c r="C1" s="2" t="s">
        <v>2</v>
      </c>
      <c r="D1" s="2" t="s">
        <v>3</v>
      </c>
      <c r="E1" s="1" t="s">
        <v>4</v>
      </c>
    </row>
    <row r="2" spans="1:5" x14ac:dyDescent="0.35">
      <c r="A2" s="10" t="s">
        <v>5</v>
      </c>
      <c r="B2" s="10"/>
      <c r="C2" s="11"/>
      <c r="D2" s="11"/>
      <c r="E2" s="10"/>
    </row>
    <row r="3" spans="1:5" x14ac:dyDescent="0.35">
      <c r="A3" s="5">
        <v>46204</v>
      </c>
      <c r="B3" s="6" t="s">
        <v>6</v>
      </c>
      <c r="C3" s="7">
        <v>2</v>
      </c>
      <c r="D3" s="298">
        <v>9</v>
      </c>
      <c r="E3" s="6"/>
    </row>
    <row r="4" spans="1:5" x14ac:dyDescent="0.35">
      <c r="A4" s="5">
        <v>46204</v>
      </c>
      <c r="B4" s="6" t="s">
        <v>7</v>
      </c>
      <c r="C4" s="7">
        <v>6</v>
      </c>
      <c r="D4" s="299"/>
      <c r="E4" s="6"/>
    </row>
    <row r="5" spans="1:5" x14ac:dyDescent="0.35">
      <c r="A5" s="5">
        <v>46204</v>
      </c>
      <c r="B5" s="6" t="s">
        <v>8</v>
      </c>
      <c r="C5" s="7">
        <v>1</v>
      </c>
      <c r="D5" s="300"/>
      <c r="E5" s="6"/>
    </row>
    <row r="6" spans="1:5" x14ac:dyDescent="0.35">
      <c r="A6" s="12"/>
      <c r="B6" s="12"/>
      <c r="C6" s="13"/>
      <c r="D6" s="13"/>
      <c r="E6" s="12"/>
    </row>
    <row r="7" spans="1:5" ht="43.5" x14ac:dyDescent="0.35">
      <c r="A7" s="14" t="s">
        <v>9</v>
      </c>
      <c r="B7" s="3"/>
      <c r="C7" s="4"/>
      <c r="D7" s="4"/>
      <c r="E7" s="3"/>
    </row>
    <row r="8" spans="1:5" x14ac:dyDescent="0.35">
      <c r="A8" s="35">
        <v>46204</v>
      </c>
      <c r="B8" s="3" t="s">
        <v>1314</v>
      </c>
      <c r="C8" s="4">
        <v>2</v>
      </c>
      <c r="D8" s="40"/>
      <c r="E8" s="3"/>
    </row>
    <row r="9" spans="1:5" x14ac:dyDescent="0.35">
      <c r="A9" s="35">
        <v>46204</v>
      </c>
      <c r="B9" s="3" t="s">
        <v>1315</v>
      </c>
      <c r="C9" s="4">
        <v>3</v>
      </c>
      <c r="D9" s="4"/>
      <c r="E9" s="3"/>
    </row>
    <row r="10" spans="1:5" x14ac:dyDescent="0.35">
      <c r="A10" s="35">
        <v>46204</v>
      </c>
      <c r="B10" s="3" t="s">
        <v>1316</v>
      </c>
      <c r="C10" s="4">
        <v>1.5</v>
      </c>
      <c r="D10" s="4">
        <v>9</v>
      </c>
      <c r="E10" s="3"/>
    </row>
    <row r="11" spans="1:5" x14ac:dyDescent="0.35">
      <c r="A11" s="35">
        <v>46204</v>
      </c>
      <c r="B11" s="3" t="s">
        <v>42</v>
      </c>
      <c r="C11" s="4">
        <v>1.5</v>
      </c>
      <c r="D11" s="4"/>
      <c r="E11" s="3"/>
    </row>
    <row r="12" spans="1:5" x14ac:dyDescent="0.35">
      <c r="A12" s="35">
        <v>46204</v>
      </c>
      <c r="B12" s="3" t="s">
        <v>1317</v>
      </c>
      <c r="C12" s="4">
        <v>1</v>
      </c>
      <c r="D12" s="4"/>
      <c r="E12" s="3"/>
    </row>
    <row r="13" spans="1:5" x14ac:dyDescent="0.35">
      <c r="A13" s="35">
        <v>46204</v>
      </c>
      <c r="B13" s="3" t="s">
        <v>1318</v>
      </c>
      <c r="C13" s="4">
        <v>1</v>
      </c>
      <c r="D13" s="4"/>
      <c r="E13" s="3"/>
    </row>
    <row r="14" spans="1:5" x14ac:dyDescent="0.35">
      <c r="A14" s="3"/>
      <c r="B14" s="3"/>
      <c r="C14" s="4"/>
      <c r="D14" s="4"/>
      <c r="E14" s="3"/>
    </row>
    <row r="15" spans="1:5" x14ac:dyDescent="0.35">
      <c r="A15" s="3"/>
      <c r="B15" s="3"/>
      <c r="C15" s="4"/>
      <c r="D15" s="4"/>
      <c r="E15" s="3"/>
    </row>
    <row r="16" spans="1:5" x14ac:dyDescent="0.35">
      <c r="A16" s="35">
        <v>46205</v>
      </c>
      <c r="B16" s="3" t="s">
        <v>1314</v>
      </c>
      <c r="C16" s="4">
        <v>2</v>
      </c>
      <c r="D16" s="40"/>
      <c r="E16" s="3"/>
    </row>
    <row r="17" spans="1:5" x14ac:dyDescent="0.35">
      <c r="A17" s="35">
        <v>46205</v>
      </c>
      <c r="B17" s="3" t="s">
        <v>1315</v>
      </c>
      <c r="C17" s="4">
        <v>5</v>
      </c>
      <c r="D17" s="4">
        <v>9</v>
      </c>
      <c r="E17" s="3"/>
    </row>
    <row r="18" spans="1:5" x14ac:dyDescent="0.35">
      <c r="A18" s="35">
        <v>46205</v>
      </c>
      <c r="B18" s="3" t="s">
        <v>42</v>
      </c>
      <c r="C18" s="4">
        <v>1.5</v>
      </c>
      <c r="D18" s="4"/>
      <c r="E18" s="3"/>
    </row>
    <row r="19" spans="1:5" x14ac:dyDescent="0.35">
      <c r="A19" s="35">
        <v>46205</v>
      </c>
      <c r="B19" s="3" t="s">
        <v>1318</v>
      </c>
      <c r="C19" s="4">
        <v>0.5</v>
      </c>
      <c r="D19" s="4"/>
      <c r="E19" s="3"/>
    </row>
    <row r="20" spans="1:5" x14ac:dyDescent="0.35">
      <c r="A20" s="3"/>
      <c r="B20" s="3"/>
      <c r="C20" s="3"/>
      <c r="D20" s="3"/>
      <c r="E20" s="3"/>
    </row>
    <row r="22" spans="1:5" x14ac:dyDescent="0.35">
      <c r="A22" s="35">
        <v>46206</v>
      </c>
      <c r="B22" s="3" t="s">
        <v>1315</v>
      </c>
      <c r="C22" s="4">
        <v>3.5</v>
      </c>
      <c r="D22" s="4">
        <v>9</v>
      </c>
      <c r="E22" t="s">
        <v>1319</v>
      </c>
    </row>
    <row r="23" spans="1:5" ht="29" x14ac:dyDescent="0.35">
      <c r="A23" s="35">
        <v>46206</v>
      </c>
      <c r="B23" s="3" t="s">
        <v>42</v>
      </c>
      <c r="C23" s="4">
        <v>2</v>
      </c>
      <c r="D23" s="4"/>
      <c r="E23" s="99" t="s">
        <v>1249</v>
      </c>
    </row>
    <row r="24" spans="1:5" x14ac:dyDescent="0.35">
      <c r="A24" s="35">
        <v>46206</v>
      </c>
      <c r="B24" s="3" t="s">
        <v>1316</v>
      </c>
      <c r="C24" s="4">
        <v>3.5</v>
      </c>
      <c r="D24" s="4"/>
      <c r="E24" s="109" t="s">
        <v>1320</v>
      </c>
    </row>
    <row r="26" spans="1:5" x14ac:dyDescent="0.35">
      <c r="A26" s="35">
        <v>46209</v>
      </c>
      <c r="B26" s="3" t="s">
        <v>1262</v>
      </c>
      <c r="C26" s="4">
        <v>1</v>
      </c>
      <c r="D26" s="95">
        <v>9</v>
      </c>
      <c r="E26" s="15" t="s">
        <v>1263</v>
      </c>
    </row>
    <row r="27" spans="1:5" x14ac:dyDescent="0.35">
      <c r="A27" s="35">
        <v>46209</v>
      </c>
      <c r="B27" s="3" t="s">
        <v>1256</v>
      </c>
      <c r="C27" s="4">
        <v>6</v>
      </c>
      <c r="D27" s="95"/>
      <c r="E27" s="3" t="s">
        <v>1255</v>
      </c>
    </row>
    <row r="28" spans="1:5" ht="29" x14ac:dyDescent="0.35">
      <c r="A28" s="35">
        <v>46209</v>
      </c>
      <c r="B28" s="3" t="s">
        <v>42</v>
      </c>
      <c r="C28" s="4">
        <v>2</v>
      </c>
      <c r="D28" s="96"/>
      <c r="E28" s="99" t="s">
        <v>1321</v>
      </c>
    </row>
    <row r="30" spans="1:5" x14ac:dyDescent="0.35">
      <c r="A30" s="35">
        <v>46210</v>
      </c>
      <c r="B30" s="3" t="s">
        <v>1256</v>
      </c>
      <c r="C30" s="4">
        <v>7</v>
      </c>
      <c r="D30" s="95">
        <v>9</v>
      </c>
      <c r="E30" s="3" t="s">
        <v>1322</v>
      </c>
    </row>
    <row r="31" spans="1:5" ht="29" x14ac:dyDescent="0.35">
      <c r="A31" s="35">
        <v>46210</v>
      </c>
      <c r="B31" s="3" t="s">
        <v>42</v>
      </c>
      <c r="C31" s="4">
        <v>2</v>
      </c>
      <c r="D31" s="96"/>
      <c r="E31" s="99" t="s">
        <v>1321</v>
      </c>
    </row>
    <row r="33" spans="1:5" x14ac:dyDescent="0.35">
      <c r="A33" s="35">
        <v>46211</v>
      </c>
      <c r="B33" s="3" t="s">
        <v>1323</v>
      </c>
      <c r="C33" s="4">
        <v>2</v>
      </c>
      <c r="D33" s="95"/>
      <c r="E33" s="3" t="s">
        <v>1322</v>
      </c>
    </row>
    <row r="34" spans="1:5" ht="29" x14ac:dyDescent="0.35">
      <c r="A34" s="35">
        <v>46211</v>
      </c>
      <c r="B34" s="3" t="s">
        <v>42</v>
      </c>
      <c r="C34" s="4">
        <v>2</v>
      </c>
      <c r="D34" s="96">
        <v>9</v>
      </c>
      <c r="E34" s="99" t="s">
        <v>1321</v>
      </c>
    </row>
    <row r="35" spans="1:5" x14ac:dyDescent="0.35">
      <c r="A35" s="35">
        <v>46211</v>
      </c>
      <c r="B35" s="3" t="s">
        <v>1324</v>
      </c>
      <c r="C35" s="4">
        <v>2</v>
      </c>
      <c r="E35" t="s">
        <v>1325</v>
      </c>
    </row>
    <row r="36" spans="1:5" x14ac:dyDescent="0.35">
      <c r="A36" s="35">
        <v>46211</v>
      </c>
      <c r="B36" s="3" t="s">
        <v>1326</v>
      </c>
      <c r="C36" s="4">
        <v>3</v>
      </c>
      <c r="D36" s="95"/>
      <c r="E36" s="3"/>
    </row>
    <row r="38" spans="1:5" ht="29" x14ac:dyDescent="0.35">
      <c r="A38" s="35">
        <v>46212</v>
      </c>
      <c r="B38" s="3" t="s">
        <v>42</v>
      </c>
      <c r="C38" s="4">
        <v>2</v>
      </c>
      <c r="D38" s="96">
        <v>9</v>
      </c>
      <c r="E38" s="99" t="s">
        <v>1321</v>
      </c>
    </row>
    <row r="39" spans="1:5" x14ac:dyDescent="0.35">
      <c r="A39" s="35">
        <v>46212</v>
      </c>
      <c r="B39" s="3" t="s">
        <v>1327</v>
      </c>
      <c r="C39" s="4">
        <v>3</v>
      </c>
      <c r="E39" t="s">
        <v>1328</v>
      </c>
    </row>
    <row r="40" spans="1:5" x14ac:dyDescent="0.35">
      <c r="A40" s="35">
        <v>46212</v>
      </c>
      <c r="B40" s="3" t="s">
        <v>1329</v>
      </c>
      <c r="C40" s="4">
        <v>4</v>
      </c>
      <c r="D40" s="95"/>
      <c r="E40" s="3" t="s">
        <v>1330</v>
      </c>
    </row>
    <row r="42" spans="1:5" ht="29" x14ac:dyDescent="0.35">
      <c r="A42" s="35">
        <v>46213</v>
      </c>
      <c r="B42" s="3" t="s">
        <v>42</v>
      </c>
      <c r="C42" s="4">
        <v>2</v>
      </c>
      <c r="D42" s="97">
        <v>9</v>
      </c>
      <c r="E42" s="99" t="s">
        <v>1321</v>
      </c>
    </row>
    <row r="43" spans="1:5" x14ac:dyDescent="0.35">
      <c r="A43" s="35">
        <v>46213</v>
      </c>
      <c r="B43" t="s">
        <v>1000</v>
      </c>
      <c r="C43">
        <v>4</v>
      </c>
      <c r="E43" t="s">
        <v>1001</v>
      </c>
    </row>
    <row r="44" spans="1:5" x14ac:dyDescent="0.35">
      <c r="A44" s="35">
        <v>46213</v>
      </c>
      <c r="B44" s="3" t="s">
        <v>1327</v>
      </c>
      <c r="C44" s="4">
        <v>3</v>
      </c>
      <c r="E44" t="s">
        <v>1328</v>
      </c>
    </row>
    <row r="46" spans="1:5" ht="29" x14ac:dyDescent="0.35">
      <c r="A46" s="35">
        <v>46216</v>
      </c>
      <c r="B46" s="3" t="s">
        <v>42</v>
      </c>
      <c r="C46" s="4">
        <v>2</v>
      </c>
      <c r="D46" s="97">
        <v>9</v>
      </c>
      <c r="E46" s="99" t="s">
        <v>1321</v>
      </c>
    </row>
    <row r="47" spans="1:5" x14ac:dyDescent="0.35">
      <c r="A47" s="35">
        <v>46216</v>
      </c>
      <c r="B47" t="s">
        <v>1000</v>
      </c>
      <c r="C47">
        <v>6</v>
      </c>
      <c r="E47" t="s">
        <v>1001</v>
      </c>
    </row>
    <row r="48" spans="1:5" x14ac:dyDescent="0.35">
      <c r="A48" s="35">
        <v>46216</v>
      </c>
      <c r="B48" s="3" t="s">
        <v>1327</v>
      </c>
      <c r="C48" s="4">
        <v>1</v>
      </c>
      <c r="E48" t="s">
        <v>1328</v>
      </c>
    </row>
    <row r="50" spans="1:5" ht="29" x14ac:dyDescent="0.35">
      <c r="A50" s="35">
        <v>46217</v>
      </c>
      <c r="B50" s="3" t="s">
        <v>42</v>
      </c>
      <c r="C50" s="4">
        <v>2</v>
      </c>
      <c r="D50" s="97">
        <v>9</v>
      </c>
      <c r="E50" s="99" t="s">
        <v>1321</v>
      </c>
    </row>
    <row r="51" spans="1:5" x14ac:dyDescent="0.35">
      <c r="A51" s="35">
        <v>46217</v>
      </c>
      <c r="B51" t="s">
        <v>1331</v>
      </c>
      <c r="C51">
        <v>7</v>
      </c>
      <c r="E51" t="s">
        <v>1332</v>
      </c>
    </row>
    <row r="53" spans="1:5" ht="29" x14ac:dyDescent="0.35">
      <c r="A53" s="35">
        <v>46218</v>
      </c>
      <c r="B53" s="3" t="s">
        <v>42</v>
      </c>
      <c r="C53" s="4">
        <v>2</v>
      </c>
      <c r="D53" s="97">
        <v>9</v>
      </c>
      <c r="E53" s="99" t="s">
        <v>1321</v>
      </c>
    </row>
    <row r="54" spans="1:5" x14ac:dyDescent="0.35">
      <c r="A54" s="35">
        <v>46218</v>
      </c>
      <c r="B54" t="s">
        <v>1331</v>
      </c>
      <c r="C54">
        <v>4</v>
      </c>
      <c r="E54" t="s">
        <v>1332</v>
      </c>
    </row>
    <row r="55" spans="1:5" x14ac:dyDescent="0.35">
      <c r="A55" s="35">
        <v>46218</v>
      </c>
      <c r="B55" s="3" t="s">
        <v>1333</v>
      </c>
      <c r="C55" s="4">
        <v>3</v>
      </c>
      <c r="E55" t="s">
        <v>1334</v>
      </c>
    </row>
    <row r="57" spans="1:5" ht="29" x14ac:dyDescent="0.35">
      <c r="A57" s="35">
        <v>46219</v>
      </c>
      <c r="B57" s="3" t="s">
        <v>42</v>
      </c>
      <c r="C57" s="4">
        <v>2</v>
      </c>
      <c r="D57" s="97">
        <v>9</v>
      </c>
      <c r="E57" s="99" t="s">
        <v>1321</v>
      </c>
    </row>
    <row r="58" spans="1:5" x14ac:dyDescent="0.35">
      <c r="A58" s="35">
        <v>46219</v>
      </c>
      <c r="B58" t="s">
        <v>1335</v>
      </c>
      <c r="C58">
        <v>7</v>
      </c>
      <c r="E58" t="s">
        <v>1336</v>
      </c>
    </row>
    <row r="60" spans="1:5" ht="29" x14ac:dyDescent="0.35">
      <c r="A60" s="35">
        <v>46223</v>
      </c>
      <c r="B60" s="3" t="s">
        <v>42</v>
      </c>
      <c r="C60" s="4">
        <v>2</v>
      </c>
      <c r="D60" s="97">
        <v>9</v>
      </c>
      <c r="E60" s="99" t="s">
        <v>1321</v>
      </c>
    </row>
    <row r="61" spans="1:5" x14ac:dyDescent="0.35">
      <c r="A61" s="35">
        <v>46223</v>
      </c>
      <c r="B61" t="s">
        <v>1337</v>
      </c>
      <c r="C61">
        <v>5</v>
      </c>
    </row>
    <row r="62" spans="1:5" x14ac:dyDescent="0.35">
      <c r="A62" s="35">
        <v>46223</v>
      </c>
      <c r="B62" t="s">
        <v>1304</v>
      </c>
      <c r="C62">
        <v>2</v>
      </c>
      <c r="D62" s="221"/>
    </row>
    <row r="64" spans="1:5" ht="29" x14ac:dyDescent="0.35">
      <c r="A64" s="35">
        <v>46224</v>
      </c>
      <c r="B64" s="3" t="s">
        <v>42</v>
      </c>
      <c r="C64" s="4">
        <v>2</v>
      </c>
      <c r="D64" s="97">
        <v>9</v>
      </c>
      <c r="E64" s="99" t="s">
        <v>1321</v>
      </c>
    </row>
    <row r="65" spans="1:5" x14ac:dyDescent="0.35">
      <c r="A65" s="35">
        <v>46224</v>
      </c>
      <c r="B65" t="s">
        <v>1337</v>
      </c>
      <c r="C65">
        <v>6.5</v>
      </c>
    </row>
    <row r="66" spans="1:5" x14ac:dyDescent="0.35">
      <c r="A66" s="35">
        <v>46224</v>
      </c>
      <c r="B66" t="s">
        <v>1338</v>
      </c>
      <c r="C66">
        <v>0.5</v>
      </c>
      <c r="D66" s="221"/>
    </row>
    <row r="68" spans="1:5" ht="29" x14ac:dyDescent="0.35">
      <c r="A68" s="35">
        <v>46225</v>
      </c>
      <c r="B68" s="3" t="s">
        <v>42</v>
      </c>
      <c r="C68" s="4">
        <v>2</v>
      </c>
      <c r="D68" s="220"/>
      <c r="E68" s="99" t="s">
        <v>1249</v>
      </c>
    </row>
    <row r="69" spans="1:5" x14ac:dyDescent="0.35">
      <c r="A69" s="35">
        <v>46225</v>
      </c>
      <c r="B69" s="3" t="s">
        <v>1305</v>
      </c>
      <c r="C69" s="4">
        <v>1</v>
      </c>
      <c r="D69" s="220">
        <v>9</v>
      </c>
      <c r="E69" s="99" t="s">
        <v>1306</v>
      </c>
    </row>
    <row r="70" spans="1:5" x14ac:dyDescent="0.35">
      <c r="A70" s="35">
        <v>46225</v>
      </c>
      <c r="B70" t="s">
        <v>1337</v>
      </c>
      <c r="C70">
        <v>3</v>
      </c>
      <c r="D70" s="221"/>
    </row>
    <row r="71" spans="1:5" x14ac:dyDescent="0.35">
      <c r="A71" s="35">
        <v>46225</v>
      </c>
      <c r="B71" t="s">
        <v>1339</v>
      </c>
      <c r="C71">
        <v>3</v>
      </c>
      <c r="D71" s="221"/>
      <c r="E71" t="s">
        <v>1307</v>
      </c>
    </row>
    <row r="73" spans="1:5" ht="29" x14ac:dyDescent="0.35">
      <c r="A73" s="35">
        <v>46226</v>
      </c>
      <c r="B73" s="3" t="s">
        <v>42</v>
      </c>
      <c r="C73" s="4">
        <v>2</v>
      </c>
      <c r="D73" s="220"/>
      <c r="E73" s="99" t="s">
        <v>1249</v>
      </c>
    </row>
    <row r="74" spans="1:5" x14ac:dyDescent="0.35">
      <c r="A74" s="35">
        <v>46226</v>
      </c>
      <c r="B74" s="3" t="s">
        <v>1305</v>
      </c>
      <c r="C74" s="4">
        <v>2</v>
      </c>
      <c r="D74" s="220">
        <v>9</v>
      </c>
      <c r="E74" s="99" t="s">
        <v>1306</v>
      </c>
    </row>
    <row r="75" spans="1:5" x14ac:dyDescent="0.35">
      <c r="A75" s="35">
        <v>46226</v>
      </c>
      <c r="B75" t="s">
        <v>1339</v>
      </c>
      <c r="C75">
        <v>2</v>
      </c>
      <c r="D75" s="221"/>
      <c r="E75" t="s">
        <v>1307</v>
      </c>
    </row>
    <row r="76" spans="1:5" x14ac:dyDescent="0.35">
      <c r="A76" s="35">
        <v>46226</v>
      </c>
      <c r="B76" t="s">
        <v>1340</v>
      </c>
      <c r="C76">
        <v>3</v>
      </c>
    </row>
    <row r="78" spans="1:5" ht="29.25" x14ac:dyDescent="0.35">
      <c r="A78" s="35">
        <v>46230</v>
      </c>
      <c r="B78" s="3" t="s">
        <v>42</v>
      </c>
      <c r="C78" s="4">
        <v>2</v>
      </c>
      <c r="D78" s="220"/>
      <c r="E78" s="99" t="s">
        <v>1249</v>
      </c>
    </row>
    <row r="79" spans="1:5" ht="15" x14ac:dyDescent="0.35">
      <c r="A79" s="35">
        <v>46230</v>
      </c>
      <c r="B79" s="3" t="s">
        <v>1942</v>
      </c>
      <c r="C79" s="4">
        <v>7</v>
      </c>
      <c r="D79" s="220">
        <v>9</v>
      </c>
      <c r="E79" s="99" t="s">
        <v>1701</v>
      </c>
    </row>
    <row r="81" spans="1:5" ht="29" x14ac:dyDescent="0.35">
      <c r="A81" s="35">
        <v>46231</v>
      </c>
      <c r="B81" s="3" t="s">
        <v>42</v>
      </c>
      <c r="C81" s="4">
        <v>2</v>
      </c>
      <c r="D81" s="220"/>
      <c r="E81" s="99" t="s">
        <v>1249</v>
      </c>
    </row>
    <row r="82" spans="1:5" x14ac:dyDescent="0.35">
      <c r="A82" s="35">
        <v>46231</v>
      </c>
      <c r="B82" s="3" t="s">
        <v>1942</v>
      </c>
      <c r="C82" s="4">
        <v>7</v>
      </c>
      <c r="D82" s="220">
        <v>9</v>
      </c>
      <c r="E82" s="99" t="s">
        <v>1702</v>
      </c>
    </row>
    <row r="84" spans="1:5" ht="29" x14ac:dyDescent="0.35">
      <c r="A84" s="35">
        <v>46232</v>
      </c>
      <c r="B84" s="3" t="s">
        <v>42</v>
      </c>
      <c r="C84" s="4">
        <v>2</v>
      </c>
      <c r="D84" s="220"/>
      <c r="E84" s="99" t="s">
        <v>1249</v>
      </c>
    </row>
    <row r="85" spans="1:5" x14ac:dyDescent="0.35">
      <c r="A85" s="35">
        <v>46232</v>
      </c>
      <c r="B85" s="3" t="s">
        <v>1700</v>
      </c>
      <c r="C85" s="4">
        <v>6</v>
      </c>
      <c r="D85" s="220">
        <v>9</v>
      </c>
      <c r="E85" s="99" t="s">
        <v>1702</v>
      </c>
    </row>
    <row r="86" spans="1:5" x14ac:dyDescent="0.35">
      <c r="A86" s="35">
        <v>46232</v>
      </c>
      <c r="B86" s="42" t="s">
        <v>1574</v>
      </c>
      <c r="C86" s="42">
        <v>1</v>
      </c>
      <c r="D86" s="456"/>
      <c r="E86" s="42" t="s">
        <v>1684</v>
      </c>
    </row>
    <row r="88" spans="1:5" ht="29" x14ac:dyDescent="0.35">
      <c r="A88" s="35">
        <v>46233</v>
      </c>
      <c r="B88" s="3" t="s">
        <v>42</v>
      </c>
      <c r="C88" s="4">
        <v>2</v>
      </c>
      <c r="D88" s="220"/>
      <c r="E88" s="99" t="s">
        <v>1249</v>
      </c>
    </row>
    <row r="89" spans="1:5" x14ac:dyDescent="0.35">
      <c r="A89" s="35">
        <v>46233</v>
      </c>
      <c r="B89" s="3" t="s">
        <v>1700</v>
      </c>
      <c r="C89" s="4">
        <v>5</v>
      </c>
      <c r="D89" s="220">
        <v>9</v>
      </c>
      <c r="E89" s="99" t="s">
        <v>1701</v>
      </c>
    </row>
    <row r="90" spans="1:5" x14ac:dyDescent="0.35">
      <c r="A90" s="35">
        <v>46233</v>
      </c>
      <c r="B90" s="42" t="s">
        <v>1574</v>
      </c>
      <c r="C90" s="42">
        <v>1</v>
      </c>
      <c r="D90" s="456"/>
      <c r="E90" s="42" t="s">
        <v>1684</v>
      </c>
    </row>
    <row r="91" spans="1:5" ht="29" x14ac:dyDescent="0.35">
      <c r="A91" s="35">
        <v>46233</v>
      </c>
      <c r="B91" s="42" t="s">
        <v>1685</v>
      </c>
      <c r="C91" s="42">
        <v>1</v>
      </c>
      <c r="D91" s="456"/>
      <c r="E91" s="108" t="s">
        <v>1686</v>
      </c>
    </row>
    <row r="93" spans="1:5" x14ac:dyDescent="0.35">
      <c r="A93" s="452">
        <v>46234</v>
      </c>
      <c r="B93" s="454" t="s">
        <v>1865</v>
      </c>
      <c r="C93" s="454">
        <v>3</v>
      </c>
      <c r="D93" s="540"/>
      <c r="E93" s="541" t="s">
        <v>1867</v>
      </c>
    </row>
    <row r="94" spans="1:5" x14ac:dyDescent="0.35">
      <c r="A94" s="452">
        <v>46234</v>
      </c>
      <c r="B94" s="42" t="s">
        <v>1863</v>
      </c>
      <c r="C94" s="28">
        <v>1</v>
      </c>
      <c r="D94" s="540">
        <v>9</v>
      </c>
      <c r="E94" s="99"/>
    </row>
    <row r="95" spans="1:5" x14ac:dyDescent="0.35">
      <c r="A95" s="452">
        <v>46234</v>
      </c>
      <c r="B95" s="42" t="s">
        <v>1864</v>
      </c>
      <c r="C95" s="28">
        <v>1</v>
      </c>
      <c r="D95" s="540"/>
      <c r="E95" s="99" t="s">
        <v>1943</v>
      </c>
    </row>
    <row r="96" spans="1:5" ht="29" x14ac:dyDescent="0.35">
      <c r="A96" s="452">
        <v>46234</v>
      </c>
      <c r="B96" s="42" t="s">
        <v>1685</v>
      </c>
      <c r="C96" s="42">
        <v>2</v>
      </c>
      <c r="D96" s="540"/>
      <c r="E96" s="108" t="s">
        <v>1686</v>
      </c>
    </row>
    <row r="97" spans="1:5" ht="29" x14ac:dyDescent="0.35">
      <c r="A97" s="452">
        <v>46234</v>
      </c>
      <c r="B97" s="3" t="s">
        <v>42</v>
      </c>
      <c r="C97" s="4">
        <v>2</v>
      </c>
      <c r="D97" s="220"/>
      <c r="E97" s="99" t="s">
        <v>1249</v>
      </c>
    </row>
    <row r="99" spans="1:5" ht="29" x14ac:dyDescent="0.35">
      <c r="A99" s="35">
        <v>46237</v>
      </c>
      <c r="B99" s="3" t="s">
        <v>42</v>
      </c>
      <c r="C99" s="4">
        <v>2</v>
      </c>
      <c r="D99" s="220"/>
      <c r="E99" s="99" t="s">
        <v>1249</v>
      </c>
    </row>
    <row r="100" spans="1:5" x14ac:dyDescent="0.35">
      <c r="A100" s="35">
        <v>46237</v>
      </c>
      <c r="B100" s="3" t="s">
        <v>1942</v>
      </c>
      <c r="C100" s="4">
        <v>5</v>
      </c>
      <c r="D100" s="220">
        <v>9</v>
      </c>
      <c r="E100" s="99" t="s">
        <v>1701</v>
      </c>
    </row>
    <row r="101" spans="1:5" x14ac:dyDescent="0.35">
      <c r="A101" s="35">
        <v>46237</v>
      </c>
      <c r="B101" s="42" t="s">
        <v>1574</v>
      </c>
      <c r="C101" s="42">
        <v>1</v>
      </c>
      <c r="D101" s="456"/>
      <c r="E101" s="42" t="s">
        <v>1684</v>
      </c>
    </row>
    <row r="102" spans="1:5" x14ac:dyDescent="0.35">
      <c r="A102" s="35">
        <v>46237</v>
      </c>
      <c r="B102" s="42" t="s">
        <v>1944</v>
      </c>
      <c r="C102" s="42">
        <v>1</v>
      </c>
      <c r="D102" s="456"/>
      <c r="E102" s="108" t="s">
        <v>1945</v>
      </c>
    </row>
  </sheetData>
  <mergeCells count="1">
    <mergeCell ref="D3:D5"/>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CF12E-8C21-494A-81AA-0B658C0FA622}">
  <dimension ref="A1:E106"/>
  <sheetViews>
    <sheetView topLeftCell="A33" workbookViewId="0">
      <selection activeCell="E48" sqref="E48"/>
    </sheetView>
  </sheetViews>
  <sheetFormatPr defaultRowHeight="14.5" x14ac:dyDescent="0.35"/>
  <cols>
    <col min="1" max="1" width="11.54296875" customWidth="1"/>
    <col min="2" max="2" width="47.7265625" customWidth="1"/>
    <col min="3" max="3" width="11.81640625" customWidth="1"/>
    <col min="4" max="4" width="16.26953125" customWidth="1"/>
    <col min="5" max="5" width="45" customWidth="1"/>
  </cols>
  <sheetData>
    <row r="1" spans="1:5" ht="29" x14ac:dyDescent="0.35">
      <c r="A1" s="1" t="s">
        <v>0</v>
      </c>
      <c r="B1" s="1" t="s">
        <v>1</v>
      </c>
      <c r="C1" s="2" t="s">
        <v>2</v>
      </c>
      <c r="D1" s="2" t="s">
        <v>3</v>
      </c>
      <c r="E1" s="1" t="s">
        <v>4</v>
      </c>
    </row>
    <row r="2" spans="1:5" x14ac:dyDescent="0.35">
      <c r="A2" s="10" t="s">
        <v>5</v>
      </c>
      <c r="B2" s="10"/>
      <c r="C2" s="11"/>
      <c r="D2" s="11"/>
      <c r="E2" s="10"/>
    </row>
    <row r="3" spans="1:5" x14ac:dyDescent="0.35">
      <c r="A3" s="5">
        <v>46204</v>
      </c>
      <c r="B3" s="6" t="s">
        <v>6</v>
      </c>
      <c r="C3" s="7">
        <v>2</v>
      </c>
      <c r="D3" s="298">
        <v>9</v>
      </c>
      <c r="E3" s="6"/>
    </row>
    <row r="4" spans="1:5" x14ac:dyDescent="0.35">
      <c r="A4" s="5">
        <v>46204</v>
      </c>
      <c r="B4" s="6" t="s">
        <v>7</v>
      </c>
      <c r="C4" s="7">
        <v>6</v>
      </c>
      <c r="D4" s="299"/>
      <c r="E4" s="6"/>
    </row>
    <row r="5" spans="1:5" x14ac:dyDescent="0.35">
      <c r="A5" s="5">
        <v>46204</v>
      </c>
      <c r="B5" s="6" t="s">
        <v>8</v>
      </c>
      <c r="C5" s="7">
        <v>1</v>
      </c>
      <c r="D5" s="300"/>
      <c r="E5" s="6"/>
    </row>
    <row r="6" spans="1:5" x14ac:dyDescent="0.35">
      <c r="A6" s="12"/>
      <c r="B6" s="12"/>
      <c r="C6" s="13"/>
      <c r="D6" s="13"/>
      <c r="E6" s="12"/>
    </row>
    <row r="7" spans="1:5" x14ac:dyDescent="0.35">
      <c r="A7" s="9" t="s">
        <v>9</v>
      </c>
      <c r="B7" s="3"/>
      <c r="C7" s="4"/>
      <c r="D7" s="25"/>
      <c r="E7" s="3"/>
    </row>
    <row r="8" spans="1:5" x14ac:dyDescent="0.35">
      <c r="A8" s="35">
        <v>46204</v>
      </c>
      <c r="B8" s="3" t="s">
        <v>1341</v>
      </c>
      <c r="C8" s="23">
        <v>2</v>
      </c>
      <c r="D8" s="363">
        <v>9</v>
      </c>
      <c r="E8" s="3" t="s">
        <v>1342</v>
      </c>
    </row>
    <row r="9" spans="1:5" x14ac:dyDescent="0.35">
      <c r="A9" s="35">
        <v>46204</v>
      </c>
      <c r="B9" s="3" t="s">
        <v>1343</v>
      </c>
      <c r="C9" s="4">
        <v>4.5</v>
      </c>
      <c r="D9" s="364"/>
      <c r="E9" s="3" t="s">
        <v>1344</v>
      </c>
    </row>
    <row r="10" spans="1:5" x14ac:dyDescent="0.35">
      <c r="A10" s="35">
        <v>46204</v>
      </c>
      <c r="B10" s="3" t="s">
        <v>1345</v>
      </c>
      <c r="C10" s="4">
        <v>1</v>
      </c>
      <c r="D10" s="364"/>
      <c r="E10" s="3" t="s">
        <v>1346</v>
      </c>
    </row>
    <row r="11" spans="1:5" x14ac:dyDescent="0.35">
      <c r="A11" s="35">
        <v>46204</v>
      </c>
      <c r="B11" s="3" t="s">
        <v>42</v>
      </c>
      <c r="C11" s="4">
        <v>1.5</v>
      </c>
      <c r="D11" s="432"/>
      <c r="E11" s="3" t="s">
        <v>1347</v>
      </c>
    </row>
    <row r="12" spans="1:5" x14ac:dyDescent="0.35">
      <c r="A12" s="3"/>
      <c r="B12" s="3"/>
      <c r="C12" s="4"/>
      <c r="D12" s="26"/>
      <c r="E12" s="3"/>
    </row>
    <row r="13" spans="1:5" x14ac:dyDescent="0.35">
      <c r="A13" s="35">
        <v>46205</v>
      </c>
      <c r="B13" s="3" t="s">
        <v>1348</v>
      </c>
      <c r="C13" s="4">
        <v>2</v>
      </c>
      <c r="D13" s="301">
        <v>9</v>
      </c>
      <c r="E13" s="3" t="s">
        <v>1342</v>
      </c>
    </row>
    <row r="14" spans="1:5" x14ac:dyDescent="0.35">
      <c r="A14" s="35">
        <v>46205</v>
      </c>
      <c r="B14" s="3" t="s">
        <v>1343</v>
      </c>
      <c r="C14" s="4">
        <v>4.5</v>
      </c>
      <c r="D14" s="302"/>
      <c r="E14" s="3" t="s">
        <v>1349</v>
      </c>
    </row>
    <row r="15" spans="1:5" x14ac:dyDescent="0.35">
      <c r="A15" s="35">
        <v>46205</v>
      </c>
      <c r="B15" s="3" t="s">
        <v>1345</v>
      </c>
      <c r="C15" s="4">
        <v>1.5</v>
      </c>
      <c r="D15" s="302"/>
      <c r="E15" s="3" t="s">
        <v>1346</v>
      </c>
    </row>
    <row r="16" spans="1:5" x14ac:dyDescent="0.35">
      <c r="A16" s="35">
        <v>46205</v>
      </c>
      <c r="B16" s="3" t="s">
        <v>42</v>
      </c>
      <c r="C16" s="4">
        <v>1</v>
      </c>
      <c r="D16" s="303"/>
      <c r="E16" s="3" t="s">
        <v>1347</v>
      </c>
    </row>
    <row r="17" spans="1:5" x14ac:dyDescent="0.35">
      <c r="A17" s="3"/>
      <c r="B17" s="3"/>
      <c r="C17" s="4"/>
      <c r="D17" s="4"/>
      <c r="E17" s="3"/>
    </row>
    <row r="18" spans="1:5" x14ac:dyDescent="0.35">
      <c r="A18" s="35"/>
      <c r="B18" s="3"/>
      <c r="C18" s="4"/>
      <c r="D18" s="4"/>
      <c r="E18" s="3"/>
    </row>
    <row r="19" spans="1:5" x14ac:dyDescent="0.35">
      <c r="A19" s="35">
        <v>46206</v>
      </c>
      <c r="B19" s="3" t="s">
        <v>1343</v>
      </c>
      <c r="C19" s="4">
        <v>6</v>
      </c>
      <c r="D19" s="301">
        <v>9.5</v>
      </c>
      <c r="E19" s="3" t="s">
        <v>1350</v>
      </c>
    </row>
    <row r="20" spans="1:5" x14ac:dyDescent="0.35">
      <c r="A20" s="35">
        <v>46206</v>
      </c>
      <c r="B20" s="3" t="s">
        <v>1345</v>
      </c>
      <c r="C20" s="4">
        <v>1.5</v>
      </c>
      <c r="D20" s="302"/>
      <c r="E20" s="3" t="s">
        <v>1346</v>
      </c>
    </row>
    <row r="21" spans="1:5" x14ac:dyDescent="0.35">
      <c r="A21" s="35">
        <v>46206</v>
      </c>
      <c r="B21" s="3" t="s">
        <v>42</v>
      </c>
      <c r="C21" s="4">
        <v>2</v>
      </c>
      <c r="D21" s="303"/>
      <c r="E21" s="3" t="s">
        <v>1347</v>
      </c>
    </row>
    <row r="22" spans="1:5" x14ac:dyDescent="0.35">
      <c r="A22" s="35"/>
      <c r="B22" s="3"/>
      <c r="C22" s="3"/>
      <c r="D22" s="3"/>
      <c r="E22" s="3"/>
    </row>
    <row r="23" spans="1:5" x14ac:dyDescent="0.35">
      <c r="A23" s="35"/>
      <c r="B23" s="3"/>
      <c r="C23" s="4"/>
      <c r="D23" s="4"/>
      <c r="E23" s="3"/>
    </row>
    <row r="24" spans="1:5" x14ac:dyDescent="0.35">
      <c r="A24" s="35">
        <v>46209</v>
      </c>
      <c r="B24" s="3" t="s">
        <v>1351</v>
      </c>
      <c r="C24" s="4">
        <v>4</v>
      </c>
      <c r="D24" s="301">
        <v>9</v>
      </c>
      <c r="E24" s="3" t="s">
        <v>1352</v>
      </c>
    </row>
    <row r="25" spans="1:5" x14ac:dyDescent="0.35">
      <c r="A25" s="35">
        <v>46209</v>
      </c>
      <c r="B25" s="3" t="s">
        <v>1345</v>
      </c>
      <c r="C25" s="4">
        <v>1</v>
      </c>
      <c r="D25" s="302"/>
      <c r="E25" s="3" t="s">
        <v>1346</v>
      </c>
    </row>
    <row r="26" spans="1:5" x14ac:dyDescent="0.35">
      <c r="A26" s="35">
        <v>46209</v>
      </c>
      <c r="B26" s="3" t="s">
        <v>42</v>
      </c>
      <c r="C26" s="4">
        <v>2</v>
      </c>
      <c r="D26" s="302"/>
      <c r="E26" s="3" t="s">
        <v>1347</v>
      </c>
    </row>
    <row r="27" spans="1:5" x14ac:dyDescent="0.35">
      <c r="A27" s="35">
        <v>46209</v>
      </c>
      <c r="B27" s="3" t="s">
        <v>1353</v>
      </c>
      <c r="C27" s="40">
        <v>2</v>
      </c>
      <c r="D27" s="303"/>
      <c r="E27" s="3" t="s">
        <v>1354</v>
      </c>
    </row>
    <row r="29" spans="1:5" x14ac:dyDescent="0.35">
      <c r="A29" s="35">
        <v>46210</v>
      </c>
      <c r="B29" s="3" t="s">
        <v>1355</v>
      </c>
      <c r="C29" s="4">
        <v>5</v>
      </c>
      <c r="D29" s="301">
        <v>9.5</v>
      </c>
      <c r="E29" s="3" t="s">
        <v>1356</v>
      </c>
    </row>
    <row r="30" spans="1:5" x14ac:dyDescent="0.35">
      <c r="A30" s="35">
        <v>46210</v>
      </c>
      <c r="B30" s="3" t="s">
        <v>1345</v>
      </c>
      <c r="C30" s="4">
        <v>1</v>
      </c>
      <c r="D30" s="302"/>
      <c r="E30" s="3" t="s">
        <v>1346</v>
      </c>
    </row>
    <row r="31" spans="1:5" x14ac:dyDescent="0.35">
      <c r="A31" s="35">
        <v>46210</v>
      </c>
      <c r="B31" s="3" t="s">
        <v>1357</v>
      </c>
      <c r="C31" s="4">
        <v>2</v>
      </c>
      <c r="D31" s="302"/>
      <c r="E31" s="3" t="s">
        <v>1347</v>
      </c>
    </row>
    <row r="32" spans="1:5" x14ac:dyDescent="0.35">
      <c r="A32" s="35">
        <v>46210</v>
      </c>
      <c r="B32" s="3" t="s">
        <v>1358</v>
      </c>
      <c r="C32" s="40">
        <v>1.5</v>
      </c>
      <c r="D32" s="303"/>
      <c r="E32" s="3" t="s">
        <v>1359</v>
      </c>
    </row>
    <row r="34" spans="1:5" x14ac:dyDescent="0.35">
      <c r="A34" s="35">
        <v>46211</v>
      </c>
      <c r="B34" s="3" t="s">
        <v>1360</v>
      </c>
      <c r="C34" s="4">
        <v>5</v>
      </c>
      <c r="D34" s="301">
        <v>9</v>
      </c>
      <c r="E34" s="3" t="s">
        <v>1361</v>
      </c>
    </row>
    <row r="35" spans="1:5" x14ac:dyDescent="0.35">
      <c r="A35" s="35">
        <v>46211</v>
      </c>
      <c r="B35" s="3" t="s">
        <v>1345</v>
      </c>
      <c r="C35" s="4">
        <v>1</v>
      </c>
      <c r="D35" s="302"/>
      <c r="E35" s="3" t="s">
        <v>1346</v>
      </c>
    </row>
    <row r="36" spans="1:5" x14ac:dyDescent="0.35">
      <c r="A36" s="35">
        <v>46211</v>
      </c>
      <c r="B36" s="3" t="s">
        <v>1362</v>
      </c>
      <c r="C36" s="4">
        <v>2</v>
      </c>
      <c r="D36" s="302"/>
      <c r="E36" s="3" t="s">
        <v>1347</v>
      </c>
    </row>
    <row r="37" spans="1:5" x14ac:dyDescent="0.35">
      <c r="A37" s="35">
        <v>46211</v>
      </c>
      <c r="B37" s="3" t="s">
        <v>1363</v>
      </c>
      <c r="C37" s="40">
        <v>1</v>
      </c>
      <c r="D37" s="303"/>
      <c r="E37" s="3" t="s">
        <v>1364</v>
      </c>
    </row>
    <row r="39" spans="1:5" x14ac:dyDescent="0.35">
      <c r="A39" s="35">
        <v>46212</v>
      </c>
      <c r="B39" s="3" t="s">
        <v>1365</v>
      </c>
      <c r="C39" s="4">
        <v>5</v>
      </c>
      <c r="D39" s="301">
        <v>9.5</v>
      </c>
      <c r="E39" s="3" t="s">
        <v>1366</v>
      </c>
    </row>
    <row r="40" spans="1:5" x14ac:dyDescent="0.35">
      <c r="A40" s="35">
        <v>46212</v>
      </c>
      <c r="B40" s="3" t="s">
        <v>1345</v>
      </c>
      <c r="C40" s="4">
        <v>1</v>
      </c>
      <c r="D40" s="302"/>
      <c r="E40" s="3" t="s">
        <v>1346</v>
      </c>
    </row>
    <row r="41" spans="1:5" x14ac:dyDescent="0.35">
      <c r="A41" s="35">
        <v>46212</v>
      </c>
      <c r="B41" s="3" t="s">
        <v>1357</v>
      </c>
      <c r="C41" s="4">
        <v>2</v>
      </c>
      <c r="D41" s="302"/>
      <c r="E41" s="3" t="s">
        <v>1347</v>
      </c>
    </row>
    <row r="42" spans="1:5" x14ac:dyDescent="0.35">
      <c r="A42" s="35">
        <v>46212</v>
      </c>
      <c r="B42" s="3" t="s">
        <v>1367</v>
      </c>
      <c r="C42" s="40">
        <v>1.5</v>
      </c>
      <c r="D42" s="303"/>
      <c r="E42" s="3" t="s">
        <v>1368</v>
      </c>
    </row>
    <row r="44" spans="1:5" x14ac:dyDescent="0.35">
      <c r="A44" s="35">
        <v>46213</v>
      </c>
      <c r="B44" s="3" t="s">
        <v>1365</v>
      </c>
      <c r="C44" s="4">
        <v>3</v>
      </c>
      <c r="D44" s="301">
        <v>9</v>
      </c>
      <c r="E44" s="3" t="s">
        <v>1366</v>
      </c>
    </row>
    <row r="45" spans="1:5" x14ac:dyDescent="0.35">
      <c r="A45" s="35">
        <v>46213</v>
      </c>
      <c r="B45" s="3" t="s">
        <v>1345</v>
      </c>
      <c r="C45" s="4">
        <v>1</v>
      </c>
      <c r="D45" s="302"/>
      <c r="E45" s="3" t="s">
        <v>1346</v>
      </c>
    </row>
    <row r="46" spans="1:5" x14ac:dyDescent="0.35">
      <c r="A46" s="35">
        <v>46213</v>
      </c>
      <c r="B46" s="3" t="s">
        <v>1357</v>
      </c>
      <c r="C46" s="4">
        <v>2</v>
      </c>
      <c r="D46" s="302"/>
      <c r="E46" s="3" t="s">
        <v>1347</v>
      </c>
    </row>
    <row r="47" spans="1:5" x14ac:dyDescent="0.35">
      <c r="A47" s="35">
        <v>46213</v>
      </c>
      <c r="B47" s="3" t="s">
        <v>1369</v>
      </c>
      <c r="C47" s="40">
        <v>3</v>
      </c>
      <c r="D47" s="303"/>
      <c r="E47" s="3" t="s">
        <v>1370</v>
      </c>
    </row>
    <row r="49" spans="1:5" x14ac:dyDescent="0.35">
      <c r="A49" s="35">
        <v>46216</v>
      </c>
      <c r="B49" s="3" t="s">
        <v>1365</v>
      </c>
      <c r="C49" s="4">
        <v>3.5</v>
      </c>
      <c r="D49" s="301">
        <v>9</v>
      </c>
      <c r="E49" s="3" t="s">
        <v>1366</v>
      </c>
    </row>
    <row r="50" spans="1:5" x14ac:dyDescent="0.35">
      <c r="A50" s="35">
        <v>46216</v>
      </c>
      <c r="B50" s="3" t="s">
        <v>1345</v>
      </c>
      <c r="C50" s="4">
        <v>1</v>
      </c>
      <c r="D50" s="302"/>
      <c r="E50" s="3" t="s">
        <v>1346</v>
      </c>
    </row>
    <row r="51" spans="1:5" x14ac:dyDescent="0.35">
      <c r="A51" s="35">
        <v>46216</v>
      </c>
      <c r="B51" s="3" t="s">
        <v>1357</v>
      </c>
      <c r="C51" s="4">
        <v>1.5</v>
      </c>
      <c r="D51" s="302"/>
      <c r="E51" s="3" t="s">
        <v>1371</v>
      </c>
    </row>
    <row r="52" spans="1:5" x14ac:dyDescent="0.35">
      <c r="A52" s="35">
        <v>46216</v>
      </c>
      <c r="B52" s="3" t="s">
        <v>1369</v>
      </c>
      <c r="C52" s="40">
        <v>3</v>
      </c>
      <c r="D52" s="303"/>
      <c r="E52" s="3" t="s">
        <v>1372</v>
      </c>
    </row>
    <row r="54" spans="1:5" x14ac:dyDescent="0.35">
      <c r="A54" s="35">
        <v>46218</v>
      </c>
      <c r="B54" s="3" t="s">
        <v>1365</v>
      </c>
      <c r="C54" s="4">
        <v>2</v>
      </c>
      <c r="D54" s="301">
        <v>9</v>
      </c>
      <c r="E54" s="3" t="s">
        <v>1366</v>
      </c>
    </row>
    <row r="55" spans="1:5" x14ac:dyDescent="0.35">
      <c r="A55" s="35">
        <v>46218</v>
      </c>
      <c r="B55" s="3" t="s">
        <v>1345</v>
      </c>
      <c r="C55" s="4">
        <v>1</v>
      </c>
      <c r="D55" s="302"/>
      <c r="E55" s="3" t="s">
        <v>1346</v>
      </c>
    </row>
    <row r="56" spans="1:5" x14ac:dyDescent="0.35">
      <c r="A56" s="35">
        <v>46218</v>
      </c>
      <c r="B56" s="3" t="s">
        <v>1357</v>
      </c>
      <c r="C56" s="4">
        <v>2</v>
      </c>
      <c r="D56" s="302"/>
      <c r="E56" s="3" t="s">
        <v>1371</v>
      </c>
    </row>
    <row r="57" spans="1:5" x14ac:dyDescent="0.35">
      <c r="A57" s="35">
        <v>46218</v>
      </c>
      <c r="B57" s="3" t="s">
        <v>1326</v>
      </c>
      <c r="C57" s="40">
        <v>2.5</v>
      </c>
      <c r="D57" s="302"/>
      <c r="E57" s="3" t="s">
        <v>1373</v>
      </c>
    </row>
    <row r="58" spans="1:5" x14ac:dyDescent="0.35">
      <c r="A58" s="35">
        <v>46218</v>
      </c>
      <c r="B58" s="3" t="s">
        <v>1374</v>
      </c>
      <c r="C58" s="40">
        <v>1.5</v>
      </c>
      <c r="D58" s="317"/>
      <c r="E58" s="3" t="s">
        <v>1375</v>
      </c>
    </row>
    <row r="60" spans="1:5" x14ac:dyDescent="0.35">
      <c r="A60" s="35">
        <v>46219</v>
      </c>
      <c r="B60" s="3" t="s">
        <v>1376</v>
      </c>
      <c r="C60" s="4">
        <v>3</v>
      </c>
      <c r="D60" s="301">
        <v>9</v>
      </c>
      <c r="E60" s="3" t="s">
        <v>1377</v>
      </c>
    </row>
    <row r="61" spans="1:5" x14ac:dyDescent="0.35">
      <c r="A61" s="35">
        <v>46219</v>
      </c>
      <c r="B61" s="3" t="s">
        <v>1345</v>
      </c>
      <c r="C61" s="4">
        <v>1</v>
      </c>
      <c r="D61" s="302"/>
      <c r="E61" s="3" t="s">
        <v>1346</v>
      </c>
    </row>
    <row r="62" spans="1:5" x14ac:dyDescent="0.35">
      <c r="A62" s="35">
        <v>46219</v>
      </c>
      <c r="B62" s="3" t="s">
        <v>1357</v>
      </c>
      <c r="C62" s="4">
        <v>2</v>
      </c>
      <c r="D62" s="302"/>
      <c r="E62" s="3" t="s">
        <v>1371</v>
      </c>
    </row>
    <row r="63" spans="1:5" x14ac:dyDescent="0.35">
      <c r="A63" s="35">
        <v>46219</v>
      </c>
      <c r="B63" s="3" t="s">
        <v>1369</v>
      </c>
      <c r="C63" s="40">
        <v>3</v>
      </c>
      <c r="D63" s="303"/>
      <c r="E63" s="3" t="s">
        <v>1378</v>
      </c>
    </row>
    <row r="65" spans="1:5" x14ac:dyDescent="0.35">
      <c r="A65" s="35">
        <v>46219</v>
      </c>
      <c r="B65" s="3" t="s">
        <v>1376</v>
      </c>
      <c r="C65" s="4">
        <v>3</v>
      </c>
      <c r="D65" s="301">
        <v>9</v>
      </c>
      <c r="E65" s="3" t="s">
        <v>1377</v>
      </c>
    </row>
    <row r="66" spans="1:5" x14ac:dyDescent="0.35">
      <c r="A66" s="35">
        <v>46219</v>
      </c>
      <c r="B66" s="3" t="s">
        <v>1345</v>
      </c>
      <c r="C66" s="4">
        <v>1</v>
      </c>
      <c r="D66" s="302"/>
      <c r="E66" s="3" t="s">
        <v>1346</v>
      </c>
    </row>
    <row r="67" spans="1:5" x14ac:dyDescent="0.35">
      <c r="A67" s="35">
        <v>46219</v>
      </c>
      <c r="B67" s="3" t="s">
        <v>1357</v>
      </c>
      <c r="C67" s="4">
        <v>2</v>
      </c>
      <c r="D67" s="302"/>
      <c r="E67" s="3" t="s">
        <v>1371</v>
      </c>
    </row>
    <row r="68" spans="1:5" x14ac:dyDescent="0.35">
      <c r="A68" s="35">
        <v>46219</v>
      </c>
      <c r="B68" s="3" t="s">
        <v>1369</v>
      </c>
      <c r="C68" s="40">
        <v>3</v>
      </c>
      <c r="D68" s="303"/>
      <c r="E68" s="3" t="s">
        <v>1379</v>
      </c>
    </row>
    <row r="70" spans="1:5" x14ac:dyDescent="0.35">
      <c r="A70" s="35">
        <v>46220</v>
      </c>
      <c r="B70" s="3" t="s">
        <v>1376</v>
      </c>
      <c r="C70" s="4">
        <v>2.5</v>
      </c>
      <c r="D70" s="301">
        <v>9</v>
      </c>
      <c r="E70" s="3" t="s">
        <v>1377</v>
      </c>
    </row>
    <row r="71" spans="1:5" x14ac:dyDescent="0.35">
      <c r="A71" s="35">
        <v>46220</v>
      </c>
      <c r="B71" s="3" t="s">
        <v>1345</v>
      </c>
      <c r="C71" s="4">
        <v>1</v>
      </c>
      <c r="D71" s="302"/>
      <c r="E71" s="3" t="s">
        <v>1346</v>
      </c>
    </row>
    <row r="72" spans="1:5" x14ac:dyDescent="0.35">
      <c r="A72" s="35">
        <v>46220</v>
      </c>
      <c r="B72" s="3" t="s">
        <v>1357</v>
      </c>
      <c r="C72" s="4">
        <v>2</v>
      </c>
      <c r="D72" s="302"/>
      <c r="E72" s="3" t="s">
        <v>1371</v>
      </c>
    </row>
    <row r="73" spans="1:5" x14ac:dyDescent="0.35">
      <c r="A73" s="35">
        <v>46220</v>
      </c>
      <c r="B73" s="3" t="s">
        <v>1369</v>
      </c>
      <c r="C73" s="40">
        <v>3.5</v>
      </c>
      <c r="D73" s="303"/>
      <c r="E73" s="3" t="s">
        <v>1380</v>
      </c>
    </row>
    <row r="75" spans="1:5" x14ac:dyDescent="0.35">
      <c r="A75" s="35">
        <v>46223</v>
      </c>
      <c r="B75" s="3" t="s">
        <v>1381</v>
      </c>
      <c r="C75" s="4">
        <v>1.5</v>
      </c>
      <c r="D75" s="301">
        <v>9.5</v>
      </c>
      <c r="E75" s="3" t="s">
        <v>1381</v>
      </c>
    </row>
    <row r="76" spans="1:5" x14ac:dyDescent="0.35">
      <c r="A76" s="35">
        <v>46223</v>
      </c>
      <c r="B76" s="3" t="s">
        <v>1345</v>
      </c>
      <c r="C76" s="4">
        <v>1</v>
      </c>
      <c r="D76" s="302"/>
      <c r="E76" s="3" t="s">
        <v>1346</v>
      </c>
    </row>
    <row r="77" spans="1:5" x14ac:dyDescent="0.35">
      <c r="A77" s="35">
        <v>46223</v>
      </c>
      <c r="B77" s="3" t="s">
        <v>1357</v>
      </c>
      <c r="C77" s="4">
        <v>2</v>
      </c>
      <c r="D77" s="302"/>
      <c r="E77" s="3" t="s">
        <v>1371</v>
      </c>
    </row>
    <row r="78" spans="1:5" x14ac:dyDescent="0.35">
      <c r="A78" s="35">
        <v>46223</v>
      </c>
      <c r="B78" s="3" t="s">
        <v>1382</v>
      </c>
      <c r="C78" s="40">
        <v>5</v>
      </c>
      <c r="D78" s="303"/>
      <c r="E78" s="3" t="s">
        <v>250</v>
      </c>
    </row>
    <row r="80" spans="1:5" x14ac:dyDescent="0.35">
      <c r="A80" s="35">
        <v>46224</v>
      </c>
      <c r="B80" s="3" t="s">
        <v>1383</v>
      </c>
      <c r="C80" s="4">
        <v>3</v>
      </c>
      <c r="D80" s="301">
        <v>9</v>
      </c>
      <c r="E80" s="3" t="s">
        <v>1384</v>
      </c>
    </row>
    <row r="81" spans="1:5" x14ac:dyDescent="0.35">
      <c r="A81" s="35">
        <v>46224</v>
      </c>
      <c r="B81" s="3" t="s">
        <v>1385</v>
      </c>
      <c r="C81" s="4">
        <v>0.5</v>
      </c>
      <c r="D81" s="302"/>
      <c r="E81" s="3" t="s">
        <v>1386</v>
      </c>
    </row>
    <row r="82" spans="1:5" x14ac:dyDescent="0.35">
      <c r="A82" s="35">
        <v>46224</v>
      </c>
      <c r="B82" s="3" t="s">
        <v>1357</v>
      </c>
      <c r="C82" s="4">
        <v>1.5</v>
      </c>
      <c r="D82" s="302"/>
      <c r="E82" s="3" t="s">
        <v>1371</v>
      </c>
    </row>
    <row r="83" spans="1:5" x14ac:dyDescent="0.35">
      <c r="A83" s="35">
        <v>46224</v>
      </c>
      <c r="B83" s="3" t="s">
        <v>1387</v>
      </c>
      <c r="C83" s="40">
        <v>4</v>
      </c>
      <c r="D83" s="303"/>
      <c r="E83" s="3" t="s">
        <v>1388</v>
      </c>
    </row>
    <row r="85" spans="1:5" x14ac:dyDescent="0.35">
      <c r="A85" s="35">
        <v>46225</v>
      </c>
      <c r="B85" s="3" t="s">
        <v>1376</v>
      </c>
      <c r="C85" s="4">
        <v>3</v>
      </c>
      <c r="D85" s="301">
        <v>9</v>
      </c>
      <c r="E85" s="3" t="s">
        <v>1377</v>
      </c>
    </row>
    <row r="86" spans="1:5" x14ac:dyDescent="0.35">
      <c r="A86" s="35">
        <v>46225</v>
      </c>
      <c r="B86" s="3" t="s">
        <v>1357</v>
      </c>
      <c r="C86" s="4">
        <v>2</v>
      </c>
      <c r="D86" s="302"/>
      <c r="E86" s="3" t="s">
        <v>1371</v>
      </c>
    </row>
    <row r="87" spans="1:5" x14ac:dyDescent="0.35">
      <c r="A87" s="35">
        <v>46225</v>
      </c>
      <c r="B87" s="3" t="s">
        <v>1387</v>
      </c>
      <c r="C87" s="40">
        <v>4</v>
      </c>
      <c r="D87" s="303"/>
      <c r="E87" s="3" t="s">
        <v>1763</v>
      </c>
    </row>
    <row r="89" spans="1:5" x14ac:dyDescent="0.35">
      <c r="A89" s="35">
        <v>46226</v>
      </c>
      <c r="B89" s="3" t="s">
        <v>1376</v>
      </c>
      <c r="C89" s="4">
        <v>3</v>
      </c>
      <c r="D89" s="25">
        <v>9</v>
      </c>
      <c r="E89" s="3" t="s">
        <v>1377</v>
      </c>
    </row>
    <row r="90" spans="1:5" x14ac:dyDescent="0.35">
      <c r="A90" s="35">
        <v>46226</v>
      </c>
      <c r="B90" s="3" t="s">
        <v>1357</v>
      </c>
      <c r="C90" s="4">
        <v>2</v>
      </c>
      <c r="D90" s="219"/>
      <c r="E90" s="3" t="s">
        <v>1371</v>
      </c>
    </row>
    <row r="91" spans="1:5" x14ac:dyDescent="0.35">
      <c r="A91" s="35">
        <v>46226</v>
      </c>
      <c r="B91" s="3" t="s">
        <v>1764</v>
      </c>
      <c r="C91" s="40">
        <v>3</v>
      </c>
      <c r="D91" s="26"/>
      <c r="E91" s="3" t="s">
        <v>1379</v>
      </c>
    </row>
    <row r="93" spans="1:5" x14ac:dyDescent="0.35">
      <c r="A93" s="35">
        <v>46227</v>
      </c>
      <c r="B93" s="3" t="s">
        <v>1376</v>
      </c>
      <c r="C93" s="4">
        <v>2.5</v>
      </c>
      <c r="D93" s="301">
        <v>9</v>
      </c>
      <c r="E93" s="3" t="s">
        <v>1377</v>
      </c>
    </row>
    <row r="94" spans="1:5" x14ac:dyDescent="0.35">
      <c r="A94" s="35">
        <v>46227</v>
      </c>
      <c r="B94" s="3" t="s">
        <v>1345</v>
      </c>
      <c r="C94" s="4">
        <v>1</v>
      </c>
      <c r="D94" s="302"/>
      <c r="E94" s="3" t="s">
        <v>1346</v>
      </c>
    </row>
    <row r="95" spans="1:5" x14ac:dyDescent="0.35">
      <c r="A95" s="35">
        <v>46227</v>
      </c>
      <c r="B95" s="3" t="s">
        <v>1357</v>
      </c>
      <c r="C95" s="4">
        <v>2</v>
      </c>
      <c r="D95" s="302"/>
      <c r="E95" s="3" t="s">
        <v>1371</v>
      </c>
    </row>
    <row r="96" spans="1:5" x14ac:dyDescent="0.35">
      <c r="A96" s="35">
        <v>46227</v>
      </c>
      <c r="B96" s="3" t="s">
        <v>1369</v>
      </c>
      <c r="C96" s="40">
        <v>3.5</v>
      </c>
      <c r="D96" s="303"/>
      <c r="E96" s="3" t="s">
        <v>1380</v>
      </c>
    </row>
    <row r="98" spans="1:5" x14ac:dyDescent="0.35">
      <c r="A98" s="35">
        <v>46230</v>
      </c>
      <c r="B98" s="3" t="s">
        <v>1381</v>
      </c>
      <c r="C98" s="4">
        <v>1.5</v>
      </c>
      <c r="D98" s="301">
        <v>9.5</v>
      </c>
      <c r="E98" s="3" t="s">
        <v>1381</v>
      </c>
    </row>
    <row r="99" spans="1:5" x14ac:dyDescent="0.35">
      <c r="A99" s="35">
        <v>46230</v>
      </c>
      <c r="B99" s="3" t="s">
        <v>1345</v>
      </c>
      <c r="C99" s="4">
        <v>1</v>
      </c>
      <c r="D99" s="302"/>
      <c r="E99" s="3" t="s">
        <v>1346</v>
      </c>
    </row>
    <row r="100" spans="1:5" x14ac:dyDescent="0.35">
      <c r="A100" s="35">
        <v>46230</v>
      </c>
      <c r="B100" s="3" t="s">
        <v>1357</v>
      </c>
      <c r="C100" s="4">
        <v>2</v>
      </c>
      <c r="D100" s="302"/>
      <c r="E100" s="3" t="s">
        <v>1371</v>
      </c>
    </row>
    <row r="101" spans="1:5" x14ac:dyDescent="0.35">
      <c r="A101" s="35">
        <v>46230</v>
      </c>
      <c r="B101" s="3" t="s">
        <v>1382</v>
      </c>
      <c r="C101" s="40">
        <v>5</v>
      </c>
      <c r="D101" s="303"/>
      <c r="E101" s="3" t="s">
        <v>250</v>
      </c>
    </row>
    <row r="103" spans="1:5" x14ac:dyDescent="0.35">
      <c r="A103" s="35">
        <v>46231</v>
      </c>
      <c r="B103" s="3" t="s">
        <v>1383</v>
      </c>
      <c r="C103" s="4">
        <v>3</v>
      </c>
      <c r="D103" s="301">
        <v>9</v>
      </c>
      <c r="E103" s="3" t="s">
        <v>1384</v>
      </c>
    </row>
    <row r="104" spans="1:5" x14ac:dyDescent="0.35">
      <c r="A104" s="35">
        <v>46231</v>
      </c>
      <c r="B104" s="3" t="s">
        <v>1385</v>
      </c>
      <c r="C104" s="4">
        <v>0.5</v>
      </c>
      <c r="D104" s="302"/>
      <c r="E104" s="3" t="s">
        <v>1386</v>
      </c>
    </row>
    <row r="105" spans="1:5" x14ac:dyDescent="0.35">
      <c r="A105" s="35">
        <v>46231</v>
      </c>
      <c r="B105" s="3" t="s">
        <v>1357</v>
      </c>
      <c r="C105" s="4">
        <v>1.5</v>
      </c>
      <c r="D105" s="302"/>
      <c r="E105" s="3" t="s">
        <v>1371</v>
      </c>
    </row>
    <row r="106" spans="1:5" x14ac:dyDescent="0.35">
      <c r="A106" s="35">
        <v>46231</v>
      </c>
      <c r="B106" s="3" t="s">
        <v>1387</v>
      </c>
      <c r="C106" s="40">
        <v>4</v>
      </c>
      <c r="D106" s="303"/>
      <c r="E106" s="3" t="s">
        <v>1388</v>
      </c>
    </row>
  </sheetData>
  <mergeCells count="20">
    <mergeCell ref="D93:D96"/>
    <mergeCell ref="D98:D101"/>
    <mergeCell ref="D103:D106"/>
    <mergeCell ref="D85:D87"/>
    <mergeCell ref="D44:D47"/>
    <mergeCell ref="D29:D32"/>
    <mergeCell ref="D34:D37"/>
    <mergeCell ref="D39:D42"/>
    <mergeCell ref="D3:D5"/>
    <mergeCell ref="D8:D11"/>
    <mergeCell ref="D13:D16"/>
    <mergeCell ref="D19:D21"/>
    <mergeCell ref="D24:D27"/>
    <mergeCell ref="D70:D73"/>
    <mergeCell ref="D75:D78"/>
    <mergeCell ref="D80:D83"/>
    <mergeCell ref="D49:D52"/>
    <mergeCell ref="D54:D58"/>
    <mergeCell ref="D60:D63"/>
    <mergeCell ref="D65:D68"/>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7DCBB-689A-4F58-9365-CE06B51A4E77}">
  <dimension ref="A1:E106"/>
  <sheetViews>
    <sheetView topLeftCell="A26" workbookViewId="0">
      <selection activeCell="B44" sqref="B44"/>
    </sheetView>
  </sheetViews>
  <sheetFormatPr defaultColWidth="8.7265625" defaultRowHeight="14.5" x14ac:dyDescent="0.35"/>
  <cols>
    <col min="1" max="1" width="18" style="256" customWidth="1"/>
    <col min="2" max="2" width="41.7265625" style="256" customWidth="1"/>
    <col min="3" max="3" width="14.1796875" style="256" customWidth="1"/>
    <col min="4" max="4" width="22.54296875" style="256" customWidth="1"/>
    <col min="5" max="5" width="87.453125" style="256" customWidth="1"/>
    <col min="6" max="16384" width="8.7265625" style="256"/>
  </cols>
  <sheetData>
    <row r="1" spans="1:5" ht="29" x14ac:dyDescent="0.35">
      <c r="A1" s="271" t="s">
        <v>0</v>
      </c>
      <c r="B1" s="272" t="s">
        <v>1</v>
      </c>
      <c r="C1" s="273" t="s">
        <v>2</v>
      </c>
      <c r="D1" s="273" t="s">
        <v>3</v>
      </c>
      <c r="E1" s="272" t="s">
        <v>4</v>
      </c>
    </row>
    <row r="2" spans="1:5" x14ac:dyDescent="0.35">
      <c r="A2" s="269" t="s">
        <v>5</v>
      </c>
      <c r="B2" s="257"/>
      <c r="C2" s="257"/>
      <c r="D2" s="257"/>
      <c r="E2" s="257"/>
    </row>
    <row r="3" spans="1:5" x14ac:dyDescent="0.35">
      <c r="A3" s="270">
        <v>46204</v>
      </c>
      <c r="B3" s="259" t="s">
        <v>1389</v>
      </c>
      <c r="C3" s="259">
        <v>5.5</v>
      </c>
      <c r="D3" s="259"/>
      <c r="E3" s="259" t="s">
        <v>1390</v>
      </c>
    </row>
    <row r="4" spans="1:5" x14ac:dyDescent="0.35">
      <c r="A4" s="270">
        <v>46204</v>
      </c>
      <c r="B4" s="260" t="s">
        <v>1391</v>
      </c>
      <c r="C4" s="259">
        <v>2.5</v>
      </c>
      <c r="D4" s="259">
        <v>10</v>
      </c>
      <c r="E4" s="261" t="s">
        <v>1392</v>
      </c>
    </row>
    <row r="5" spans="1:5" x14ac:dyDescent="0.35">
      <c r="A5" s="274">
        <v>46204</v>
      </c>
      <c r="B5" s="275" t="s">
        <v>1393</v>
      </c>
      <c r="C5" s="275">
        <v>2</v>
      </c>
      <c r="D5" s="275"/>
      <c r="E5" s="275" t="s">
        <v>1394</v>
      </c>
    </row>
    <row r="6" spans="1:5" s="267" customFormat="1" x14ac:dyDescent="0.35">
      <c r="A6" s="265"/>
      <c r="B6" s="266"/>
      <c r="C6" s="266"/>
      <c r="D6" s="266"/>
      <c r="E6" s="266"/>
    </row>
    <row r="7" spans="1:5" x14ac:dyDescent="0.35">
      <c r="A7" s="262" t="s">
        <v>9</v>
      </c>
      <c r="B7" s="259"/>
      <c r="C7" s="259"/>
      <c r="D7" s="259"/>
      <c r="E7" s="259"/>
    </row>
    <row r="8" spans="1:5" x14ac:dyDescent="0.35">
      <c r="A8" s="258">
        <v>46205</v>
      </c>
      <c r="B8" s="259" t="s">
        <v>1395</v>
      </c>
      <c r="C8" s="259">
        <v>3.5</v>
      </c>
      <c r="D8" s="259"/>
      <c r="E8" s="261" t="s">
        <v>1396</v>
      </c>
    </row>
    <row r="9" spans="1:5" x14ac:dyDescent="0.35">
      <c r="A9" s="258">
        <v>46205</v>
      </c>
      <c r="B9" s="259" t="s">
        <v>1397</v>
      </c>
      <c r="C9" s="259">
        <v>2.5</v>
      </c>
      <c r="D9" s="259">
        <v>9</v>
      </c>
      <c r="E9" s="259" t="s">
        <v>1398</v>
      </c>
    </row>
    <row r="10" spans="1:5" x14ac:dyDescent="0.35">
      <c r="A10" s="258">
        <v>46205</v>
      </c>
      <c r="B10" s="259" t="s">
        <v>1399</v>
      </c>
      <c r="C10" s="259">
        <v>1.5</v>
      </c>
      <c r="D10" s="259"/>
      <c r="E10" s="259" t="s">
        <v>1400</v>
      </c>
    </row>
    <row r="11" spans="1:5" x14ac:dyDescent="0.35">
      <c r="A11" s="258">
        <v>46205</v>
      </c>
      <c r="B11" s="260" t="s">
        <v>1401</v>
      </c>
      <c r="C11" s="259">
        <v>1.5</v>
      </c>
      <c r="D11" s="259"/>
      <c r="E11" s="259" t="s">
        <v>1402</v>
      </c>
    </row>
    <row r="12" spans="1:5" x14ac:dyDescent="0.35">
      <c r="A12" s="259"/>
      <c r="B12" s="259"/>
      <c r="C12" s="259"/>
      <c r="D12" s="259"/>
      <c r="E12" s="259"/>
    </row>
    <row r="13" spans="1:5" x14ac:dyDescent="0.35">
      <c r="A13" s="258">
        <v>46206</v>
      </c>
      <c r="B13" s="259" t="s">
        <v>1403</v>
      </c>
      <c r="C13" s="259">
        <v>5.5</v>
      </c>
      <c r="D13" s="259">
        <v>9</v>
      </c>
      <c r="E13" s="259" t="s">
        <v>1404</v>
      </c>
    </row>
    <row r="14" spans="1:5" x14ac:dyDescent="0.35">
      <c r="A14" s="258">
        <v>46206</v>
      </c>
      <c r="B14" s="259" t="s">
        <v>1399</v>
      </c>
      <c r="C14" s="259">
        <v>1</v>
      </c>
      <c r="D14" s="259"/>
      <c r="E14" s="259" t="s">
        <v>1405</v>
      </c>
    </row>
    <row r="15" spans="1:5" x14ac:dyDescent="0.35">
      <c r="A15" s="258">
        <v>46206</v>
      </c>
      <c r="B15" s="263" t="s">
        <v>1406</v>
      </c>
      <c r="C15" s="259">
        <v>1</v>
      </c>
      <c r="D15" s="259"/>
      <c r="E15" s="259" t="s">
        <v>1407</v>
      </c>
    </row>
    <row r="16" spans="1:5" x14ac:dyDescent="0.35">
      <c r="A16" s="258">
        <v>46206</v>
      </c>
      <c r="B16" s="259" t="s">
        <v>1408</v>
      </c>
      <c r="C16" s="259">
        <v>1.5</v>
      </c>
      <c r="D16" s="259"/>
      <c r="E16" s="259" t="s">
        <v>1409</v>
      </c>
    </row>
    <row r="17" spans="1:5" x14ac:dyDescent="0.35">
      <c r="A17" s="259"/>
      <c r="B17" s="259"/>
      <c r="C17" s="259"/>
      <c r="D17" s="259"/>
      <c r="E17" s="259"/>
    </row>
    <row r="18" spans="1:5" x14ac:dyDescent="0.35">
      <c r="A18" s="258">
        <v>46209</v>
      </c>
      <c r="B18" s="259" t="s">
        <v>1403</v>
      </c>
      <c r="C18" s="259">
        <v>5.5</v>
      </c>
      <c r="D18" s="259">
        <v>9</v>
      </c>
      <c r="E18" s="259" t="s">
        <v>1410</v>
      </c>
    </row>
    <row r="19" spans="1:5" x14ac:dyDescent="0.35">
      <c r="A19" s="258">
        <v>46209</v>
      </c>
      <c r="B19" s="259" t="s">
        <v>1411</v>
      </c>
      <c r="C19" s="259">
        <v>1.5</v>
      </c>
      <c r="D19" s="259"/>
      <c r="E19" s="259" t="s">
        <v>1412</v>
      </c>
    </row>
    <row r="20" spans="1:5" x14ac:dyDescent="0.35">
      <c r="A20" s="258">
        <v>46209</v>
      </c>
      <c r="B20" s="259" t="s">
        <v>1413</v>
      </c>
      <c r="C20" s="259">
        <v>1</v>
      </c>
      <c r="D20" s="259"/>
      <c r="E20" s="259" t="s">
        <v>1414</v>
      </c>
    </row>
    <row r="21" spans="1:5" x14ac:dyDescent="0.35">
      <c r="A21" s="264">
        <v>46209</v>
      </c>
      <c r="B21" s="256" t="s">
        <v>1415</v>
      </c>
      <c r="C21" s="256">
        <v>1</v>
      </c>
      <c r="E21" s="256" t="s">
        <v>1416</v>
      </c>
    </row>
    <row r="23" spans="1:5" x14ac:dyDescent="0.35">
      <c r="A23" s="258">
        <v>46210</v>
      </c>
      <c r="B23" s="260" t="s">
        <v>1391</v>
      </c>
      <c r="C23" s="259">
        <v>3</v>
      </c>
      <c r="D23" s="259"/>
      <c r="E23" s="260" t="s">
        <v>1392</v>
      </c>
    </row>
    <row r="24" spans="1:5" x14ac:dyDescent="0.35">
      <c r="A24" s="264">
        <v>46210</v>
      </c>
      <c r="B24" s="256" t="s">
        <v>1417</v>
      </c>
      <c r="C24" s="256">
        <v>1</v>
      </c>
      <c r="D24" s="256">
        <v>10</v>
      </c>
      <c r="E24" s="256" t="s">
        <v>1418</v>
      </c>
    </row>
    <row r="25" spans="1:5" x14ac:dyDescent="0.35">
      <c r="A25" s="264">
        <v>46210</v>
      </c>
      <c r="B25" s="256" t="s">
        <v>1419</v>
      </c>
      <c r="C25" s="256">
        <v>3</v>
      </c>
      <c r="E25" s="256" t="s">
        <v>1420</v>
      </c>
    </row>
    <row r="26" spans="1:5" x14ac:dyDescent="0.35">
      <c r="A26" s="264">
        <v>46210</v>
      </c>
      <c r="B26" s="256" t="s">
        <v>1421</v>
      </c>
      <c r="C26" s="256">
        <v>2</v>
      </c>
      <c r="E26" s="256" t="s">
        <v>1422</v>
      </c>
    </row>
    <row r="28" spans="1:5" x14ac:dyDescent="0.35">
      <c r="A28" s="258">
        <v>46211</v>
      </c>
      <c r="B28" s="260" t="s">
        <v>1391</v>
      </c>
      <c r="C28" s="259">
        <v>3</v>
      </c>
      <c r="D28" s="259"/>
      <c r="E28" s="260" t="s">
        <v>1392</v>
      </c>
    </row>
    <row r="29" spans="1:5" x14ac:dyDescent="0.35">
      <c r="A29" s="264">
        <v>46211</v>
      </c>
      <c r="B29" s="256" t="s">
        <v>1415</v>
      </c>
      <c r="C29" s="256">
        <v>4.5</v>
      </c>
      <c r="D29" s="256">
        <v>9</v>
      </c>
      <c r="E29" s="256" t="s">
        <v>1423</v>
      </c>
    </row>
    <row r="30" spans="1:5" x14ac:dyDescent="0.35">
      <c r="A30" s="264">
        <v>46211</v>
      </c>
      <c r="B30" s="256" t="s">
        <v>1424</v>
      </c>
      <c r="C30" s="256">
        <v>0.5</v>
      </c>
      <c r="E30" s="256" t="s">
        <v>1425</v>
      </c>
    </row>
    <row r="31" spans="1:5" x14ac:dyDescent="0.35">
      <c r="A31" s="264">
        <v>46211</v>
      </c>
      <c r="B31" s="256" t="s">
        <v>1426</v>
      </c>
      <c r="C31" s="256">
        <v>1</v>
      </c>
      <c r="E31" s="256" t="s">
        <v>1427</v>
      </c>
    </row>
    <row r="33" spans="1:5" x14ac:dyDescent="0.35">
      <c r="A33" s="258">
        <v>46212</v>
      </c>
      <c r="B33" s="259" t="s">
        <v>1428</v>
      </c>
      <c r="C33" s="259">
        <v>3.5</v>
      </c>
      <c r="D33" s="259"/>
      <c r="E33" s="260" t="s">
        <v>1396</v>
      </c>
    </row>
    <row r="34" spans="1:5" x14ac:dyDescent="0.35">
      <c r="A34" s="258">
        <v>46212</v>
      </c>
      <c r="B34" s="259" t="s">
        <v>1429</v>
      </c>
      <c r="C34" s="259">
        <v>1</v>
      </c>
      <c r="D34" s="259">
        <v>10</v>
      </c>
      <c r="E34" s="260" t="s">
        <v>1430</v>
      </c>
    </row>
    <row r="35" spans="1:5" x14ac:dyDescent="0.35">
      <c r="A35" s="258">
        <v>46212</v>
      </c>
      <c r="B35" s="259" t="s">
        <v>1399</v>
      </c>
      <c r="C35" s="259">
        <v>1.5</v>
      </c>
      <c r="D35" s="259"/>
      <c r="E35" s="259" t="s">
        <v>1400</v>
      </c>
    </row>
    <row r="36" spans="1:5" x14ac:dyDescent="0.35">
      <c r="A36" s="258">
        <v>46212</v>
      </c>
      <c r="B36" s="260" t="s">
        <v>1401</v>
      </c>
      <c r="C36" s="259">
        <v>1.5</v>
      </c>
      <c r="D36" s="259"/>
      <c r="E36" s="259" t="s">
        <v>1402</v>
      </c>
    </row>
    <row r="37" spans="1:5" x14ac:dyDescent="0.35">
      <c r="A37" s="264">
        <v>46212</v>
      </c>
      <c r="B37" s="256" t="s">
        <v>1431</v>
      </c>
      <c r="C37" s="256">
        <v>2.5</v>
      </c>
      <c r="E37" s="256" t="s">
        <v>1432</v>
      </c>
    </row>
    <row r="39" spans="1:5" x14ac:dyDescent="0.35">
      <c r="A39" s="258">
        <v>46213</v>
      </c>
      <c r="B39" s="259" t="s">
        <v>1433</v>
      </c>
      <c r="C39" s="259">
        <v>7.5</v>
      </c>
      <c r="D39" s="259"/>
      <c r="E39" s="260" t="s">
        <v>1396</v>
      </c>
    </row>
    <row r="40" spans="1:5" x14ac:dyDescent="0.35">
      <c r="A40" s="258">
        <v>46213</v>
      </c>
      <c r="B40" s="259" t="s">
        <v>1399</v>
      </c>
      <c r="C40" s="259">
        <v>1.5</v>
      </c>
      <c r="D40" s="259">
        <v>10</v>
      </c>
      <c r="E40" s="259" t="s">
        <v>1400</v>
      </c>
    </row>
    <row r="41" spans="1:5" x14ac:dyDescent="0.35">
      <c r="A41" s="258">
        <v>46213</v>
      </c>
      <c r="B41" s="260" t="s">
        <v>1434</v>
      </c>
      <c r="C41" s="259">
        <v>1</v>
      </c>
      <c r="D41" s="259"/>
      <c r="E41" s="259" t="s">
        <v>1435</v>
      </c>
    </row>
    <row r="43" spans="1:5" x14ac:dyDescent="0.35">
      <c r="A43" s="258">
        <v>46216</v>
      </c>
      <c r="B43" s="259" t="s">
        <v>1436</v>
      </c>
      <c r="C43" s="259">
        <v>1.5</v>
      </c>
      <c r="D43" s="259"/>
      <c r="E43" s="259" t="s">
        <v>1437</v>
      </c>
    </row>
    <row r="44" spans="1:5" x14ac:dyDescent="0.35">
      <c r="A44" s="258">
        <v>46216</v>
      </c>
      <c r="B44" s="259" t="s">
        <v>1429</v>
      </c>
      <c r="C44" s="259">
        <v>6</v>
      </c>
      <c r="D44" s="259">
        <v>9</v>
      </c>
      <c r="E44" s="263" t="s">
        <v>1438</v>
      </c>
    </row>
    <row r="45" spans="1:5" x14ac:dyDescent="0.35">
      <c r="A45" s="264">
        <v>46216</v>
      </c>
      <c r="B45" s="256" t="s">
        <v>1439</v>
      </c>
      <c r="C45" s="256">
        <v>0.5</v>
      </c>
      <c r="E45" s="256" t="s">
        <v>1440</v>
      </c>
    </row>
    <row r="46" spans="1:5" x14ac:dyDescent="0.35">
      <c r="A46" s="264">
        <v>46216</v>
      </c>
      <c r="B46" s="256" t="s">
        <v>1441</v>
      </c>
      <c r="C46" s="256">
        <v>1</v>
      </c>
      <c r="E46" s="256" t="s">
        <v>1442</v>
      </c>
    </row>
    <row r="48" spans="1:5" x14ac:dyDescent="0.35">
      <c r="A48" s="258">
        <v>46217</v>
      </c>
      <c r="B48" s="263" t="s">
        <v>1443</v>
      </c>
      <c r="C48" s="259">
        <v>3.5</v>
      </c>
      <c r="D48" s="259"/>
      <c r="E48" s="263" t="s">
        <v>1444</v>
      </c>
    </row>
    <row r="49" spans="1:5" x14ac:dyDescent="0.35">
      <c r="A49" s="258">
        <v>46217</v>
      </c>
      <c r="B49" s="259" t="s">
        <v>1429</v>
      </c>
      <c r="C49" s="259">
        <v>6</v>
      </c>
      <c r="D49" s="259">
        <v>10.5</v>
      </c>
      <c r="E49" s="263" t="s">
        <v>1445</v>
      </c>
    </row>
    <row r="50" spans="1:5" x14ac:dyDescent="0.35">
      <c r="A50" s="264">
        <v>46217</v>
      </c>
      <c r="B50" s="256" t="s">
        <v>1431</v>
      </c>
      <c r="C50" s="256">
        <v>1</v>
      </c>
      <c r="E50" s="256" t="s">
        <v>1446</v>
      </c>
    </row>
    <row r="52" spans="1:5" x14ac:dyDescent="0.35">
      <c r="A52" s="258">
        <v>46218</v>
      </c>
      <c r="B52" s="259" t="s">
        <v>1433</v>
      </c>
      <c r="C52" s="259">
        <v>7.5</v>
      </c>
      <c r="D52" s="259"/>
      <c r="E52" s="263" t="s">
        <v>1396</v>
      </c>
    </row>
    <row r="53" spans="1:5" x14ac:dyDescent="0.35">
      <c r="A53" s="258">
        <v>46218</v>
      </c>
      <c r="B53" s="259" t="s">
        <v>1447</v>
      </c>
      <c r="C53" s="259">
        <v>2</v>
      </c>
      <c r="D53" s="259">
        <v>10.5</v>
      </c>
      <c r="E53" s="259" t="s">
        <v>1448</v>
      </c>
    </row>
    <row r="54" spans="1:5" x14ac:dyDescent="0.35">
      <c r="A54" s="258">
        <v>46218</v>
      </c>
      <c r="B54" s="263" t="s">
        <v>1449</v>
      </c>
      <c r="C54" s="259">
        <v>1</v>
      </c>
      <c r="D54" s="259"/>
      <c r="E54" s="259" t="s">
        <v>1450</v>
      </c>
    </row>
    <row r="56" spans="1:5" x14ac:dyDescent="0.35">
      <c r="A56" s="258">
        <v>46219</v>
      </c>
      <c r="B56" s="259" t="s">
        <v>1451</v>
      </c>
      <c r="C56" s="259">
        <v>7</v>
      </c>
      <c r="D56" s="259"/>
      <c r="E56" s="263" t="s">
        <v>1452</v>
      </c>
    </row>
    <row r="57" spans="1:5" x14ac:dyDescent="0.35">
      <c r="A57" s="258">
        <v>46219</v>
      </c>
      <c r="B57" s="259" t="s">
        <v>1399</v>
      </c>
      <c r="C57" s="259">
        <v>1.5</v>
      </c>
      <c r="D57" s="259">
        <v>10</v>
      </c>
      <c r="E57" s="259" t="s">
        <v>1400</v>
      </c>
    </row>
    <row r="58" spans="1:5" x14ac:dyDescent="0.35">
      <c r="A58" s="264">
        <v>46219</v>
      </c>
      <c r="B58" s="256" t="s">
        <v>1453</v>
      </c>
      <c r="C58" s="256">
        <v>1.5</v>
      </c>
      <c r="E58" s="261" t="s">
        <v>1454</v>
      </c>
    </row>
    <row r="60" spans="1:5" x14ac:dyDescent="0.35">
      <c r="A60" s="258">
        <v>46220</v>
      </c>
      <c r="B60" s="259" t="s">
        <v>1455</v>
      </c>
      <c r="C60" s="259">
        <v>2</v>
      </c>
      <c r="D60" s="259"/>
      <c r="E60" s="261" t="s">
        <v>1456</v>
      </c>
    </row>
    <row r="61" spans="1:5" x14ac:dyDescent="0.35">
      <c r="A61" s="258">
        <v>46220</v>
      </c>
      <c r="B61" s="259" t="s">
        <v>1447</v>
      </c>
      <c r="C61" s="259">
        <v>7</v>
      </c>
      <c r="D61" s="259">
        <v>9</v>
      </c>
      <c r="E61" s="259" t="s">
        <v>1457</v>
      </c>
    </row>
    <row r="63" spans="1:5" x14ac:dyDescent="0.35">
      <c r="A63" s="258">
        <v>46223</v>
      </c>
      <c r="B63" s="259" t="s">
        <v>1458</v>
      </c>
      <c r="C63" s="259">
        <v>1.5</v>
      </c>
      <c r="D63" s="259"/>
      <c r="E63" s="263" t="s">
        <v>1459</v>
      </c>
    </row>
    <row r="64" spans="1:5" x14ac:dyDescent="0.35">
      <c r="A64" s="258">
        <v>46223</v>
      </c>
      <c r="B64" s="259" t="s">
        <v>1447</v>
      </c>
      <c r="C64" s="259">
        <v>6</v>
      </c>
      <c r="D64" s="259">
        <v>9</v>
      </c>
      <c r="E64" s="259" t="s">
        <v>1460</v>
      </c>
    </row>
    <row r="65" spans="1:5" x14ac:dyDescent="0.35">
      <c r="A65" s="264">
        <v>46223</v>
      </c>
      <c r="B65" s="256" t="s">
        <v>1461</v>
      </c>
      <c r="C65" s="256">
        <v>1.5</v>
      </c>
    </row>
    <row r="67" spans="1:5" x14ac:dyDescent="0.35">
      <c r="A67" s="264">
        <v>46224</v>
      </c>
      <c r="B67" s="256" t="s">
        <v>1462</v>
      </c>
      <c r="C67" s="256">
        <v>2</v>
      </c>
      <c r="E67" s="256" t="s">
        <v>1463</v>
      </c>
    </row>
    <row r="68" spans="1:5" x14ac:dyDescent="0.35">
      <c r="A68" s="264">
        <v>46224</v>
      </c>
      <c r="B68" s="256" t="s">
        <v>1464</v>
      </c>
      <c r="C68" s="256">
        <v>1.5</v>
      </c>
      <c r="E68" s="256" t="s">
        <v>1442</v>
      </c>
    </row>
    <row r="69" spans="1:5" x14ac:dyDescent="0.35">
      <c r="A69" s="264">
        <v>46224</v>
      </c>
      <c r="B69" s="256" t="s">
        <v>1465</v>
      </c>
      <c r="C69" s="256">
        <v>1</v>
      </c>
      <c r="D69" s="256">
        <v>9</v>
      </c>
      <c r="E69" s="256" t="s">
        <v>1466</v>
      </c>
    </row>
    <row r="70" spans="1:5" x14ac:dyDescent="0.35">
      <c r="A70" s="264">
        <v>46224</v>
      </c>
      <c r="B70" s="256" t="s">
        <v>702</v>
      </c>
      <c r="C70" s="256">
        <v>1.5</v>
      </c>
      <c r="E70" s="256" t="s">
        <v>1467</v>
      </c>
    </row>
    <row r="71" spans="1:5" x14ac:dyDescent="0.35">
      <c r="A71" s="264">
        <v>46224</v>
      </c>
      <c r="B71" s="256" t="s">
        <v>1468</v>
      </c>
      <c r="C71" s="256">
        <v>3</v>
      </c>
      <c r="E71" s="256" t="s">
        <v>1469</v>
      </c>
    </row>
    <row r="73" spans="1:5" x14ac:dyDescent="0.35">
      <c r="A73" s="258">
        <v>46225</v>
      </c>
      <c r="B73" s="259" t="s">
        <v>1470</v>
      </c>
      <c r="C73" s="259">
        <v>2.5</v>
      </c>
      <c r="D73" s="259"/>
      <c r="E73" s="261" t="s">
        <v>1456</v>
      </c>
    </row>
    <row r="74" spans="1:5" x14ac:dyDescent="0.35">
      <c r="A74" s="264">
        <v>46225</v>
      </c>
      <c r="B74" s="256" t="s">
        <v>1461</v>
      </c>
      <c r="C74" s="256">
        <v>2</v>
      </c>
      <c r="D74" s="256">
        <v>9</v>
      </c>
      <c r="E74" s="256" t="s">
        <v>1471</v>
      </c>
    </row>
    <row r="75" spans="1:5" x14ac:dyDescent="0.35">
      <c r="A75" s="264">
        <v>46225</v>
      </c>
      <c r="B75" s="256" t="s">
        <v>1468</v>
      </c>
      <c r="C75" s="256">
        <v>4.5</v>
      </c>
      <c r="E75" s="256" t="s">
        <v>1472</v>
      </c>
    </row>
    <row r="77" spans="1:5" x14ac:dyDescent="0.35">
      <c r="A77" s="258">
        <v>46226</v>
      </c>
      <c r="B77" s="259" t="s">
        <v>1470</v>
      </c>
      <c r="C77" s="259">
        <v>2.5</v>
      </c>
      <c r="D77" s="259"/>
      <c r="E77" s="263" t="s">
        <v>1456</v>
      </c>
    </row>
    <row r="78" spans="1:5" x14ac:dyDescent="0.35">
      <c r="A78" s="264">
        <v>46226</v>
      </c>
      <c r="B78" s="256" t="s">
        <v>1461</v>
      </c>
      <c r="C78" s="256">
        <v>2</v>
      </c>
      <c r="D78" s="256">
        <v>9</v>
      </c>
      <c r="E78" s="268" t="s">
        <v>1471</v>
      </c>
    </row>
    <row r="79" spans="1:5" x14ac:dyDescent="0.35">
      <c r="A79" s="264">
        <v>46226</v>
      </c>
      <c r="B79" s="256" t="s">
        <v>1468</v>
      </c>
      <c r="C79" s="256">
        <v>4.5</v>
      </c>
      <c r="E79" s="256" t="s">
        <v>1473</v>
      </c>
    </row>
    <row r="80" spans="1:5" x14ac:dyDescent="0.35">
      <c r="A80" s="264">
        <v>46226</v>
      </c>
      <c r="B80" s="256" t="s">
        <v>1474</v>
      </c>
      <c r="C80" s="256">
        <v>1</v>
      </c>
      <c r="E80" s="256" t="s">
        <v>1475</v>
      </c>
    </row>
    <row r="82" spans="1:5" x14ac:dyDescent="0.35">
      <c r="A82" s="258">
        <v>46227</v>
      </c>
      <c r="B82" s="259" t="s">
        <v>1470</v>
      </c>
      <c r="C82" s="259">
        <v>5</v>
      </c>
      <c r="D82" s="259">
        <v>9.5</v>
      </c>
      <c r="E82" s="263" t="s">
        <v>1565</v>
      </c>
    </row>
    <row r="83" spans="1:5" x14ac:dyDescent="0.35">
      <c r="A83" s="264">
        <v>46227</v>
      </c>
      <c r="B83" s="256" t="s">
        <v>1468</v>
      </c>
      <c r="C83" s="256">
        <v>4.5</v>
      </c>
      <c r="E83" s="256" t="s">
        <v>1564</v>
      </c>
    </row>
    <row r="85" spans="1:5" x14ac:dyDescent="0.35">
      <c r="A85" s="258">
        <v>46230</v>
      </c>
      <c r="B85" s="259" t="s">
        <v>1608</v>
      </c>
      <c r="C85" s="259">
        <v>7</v>
      </c>
      <c r="D85" s="259"/>
      <c r="E85" s="260" t="s">
        <v>1609</v>
      </c>
    </row>
    <row r="86" spans="1:5" x14ac:dyDescent="0.35">
      <c r="A86" s="258">
        <v>46230</v>
      </c>
      <c r="B86" s="259" t="s">
        <v>1399</v>
      </c>
      <c r="C86" s="259">
        <v>1</v>
      </c>
      <c r="D86" s="259">
        <v>11</v>
      </c>
      <c r="E86" s="259" t="s">
        <v>1400</v>
      </c>
    </row>
    <row r="87" spans="1:5" x14ac:dyDescent="0.35">
      <c r="A87" s="264">
        <v>46230</v>
      </c>
      <c r="B87" s="256" t="s">
        <v>1453</v>
      </c>
      <c r="C87" s="256">
        <v>1.5</v>
      </c>
      <c r="E87" s="260" t="s">
        <v>1454</v>
      </c>
    </row>
    <row r="88" spans="1:5" x14ac:dyDescent="0.35">
      <c r="A88" s="264">
        <v>46230</v>
      </c>
      <c r="B88" s="256" t="s">
        <v>1610</v>
      </c>
      <c r="C88" s="256">
        <v>1.5</v>
      </c>
      <c r="E88" s="260" t="s">
        <v>1611</v>
      </c>
    </row>
    <row r="90" spans="1:5" x14ac:dyDescent="0.35">
      <c r="A90" s="258">
        <v>46231</v>
      </c>
      <c r="B90" s="259" t="s">
        <v>1721</v>
      </c>
      <c r="C90" s="259">
        <v>5.5</v>
      </c>
      <c r="D90" s="259">
        <v>9.5</v>
      </c>
      <c r="E90" s="260" t="s">
        <v>1722</v>
      </c>
    </row>
    <row r="91" spans="1:5" x14ac:dyDescent="0.35">
      <c r="A91" s="264">
        <v>46231</v>
      </c>
      <c r="B91" s="256" t="s">
        <v>1719</v>
      </c>
      <c r="C91" s="256">
        <v>4</v>
      </c>
      <c r="E91" s="256" t="s">
        <v>1720</v>
      </c>
    </row>
    <row r="93" spans="1:5" x14ac:dyDescent="0.35">
      <c r="A93" s="258">
        <v>46232</v>
      </c>
      <c r="B93" s="259" t="s">
        <v>1757</v>
      </c>
      <c r="C93" s="259">
        <v>5.5</v>
      </c>
      <c r="D93" s="259">
        <v>9</v>
      </c>
      <c r="E93" s="260" t="s">
        <v>1758</v>
      </c>
    </row>
    <row r="94" spans="1:5" x14ac:dyDescent="0.35">
      <c r="A94" s="264">
        <v>46232</v>
      </c>
      <c r="B94" s="256" t="s">
        <v>1759</v>
      </c>
      <c r="C94" s="256">
        <v>2.5</v>
      </c>
      <c r="E94" s="256" t="s">
        <v>1760</v>
      </c>
    </row>
    <row r="95" spans="1:5" x14ac:dyDescent="0.35">
      <c r="A95" s="264">
        <v>46232</v>
      </c>
      <c r="B95" s="256" t="s">
        <v>1761</v>
      </c>
      <c r="C95" s="256">
        <v>1</v>
      </c>
      <c r="E95" s="256" t="s">
        <v>1762</v>
      </c>
    </row>
    <row r="97" spans="1:5" x14ac:dyDescent="0.35">
      <c r="A97" s="258">
        <v>46233</v>
      </c>
      <c r="B97" s="259" t="s">
        <v>1856</v>
      </c>
      <c r="C97" s="259">
        <v>5</v>
      </c>
      <c r="D97" s="259"/>
      <c r="E97" s="260" t="s">
        <v>1609</v>
      </c>
    </row>
    <row r="98" spans="1:5" x14ac:dyDescent="0.35">
      <c r="A98" s="258">
        <v>46233</v>
      </c>
      <c r="B98" s="259" t="s">
        <v>1399</v>
      </c>
      <c r="C98" s="259">
        <v>1</v>
      </c>
      <c r="D98" s="259">
        <v>9</v>
      </c>
      <c r="E98" s="259" t="s">
        <v>1400</v>
      </c>
    </row>
    <row r="99" spans="1:5" x14ac:dyDescent="0.35">
      <c r="A99" s="264">
        <v>46233</v>
      </c>
      <c r="B99" s="256" t="s">
        <v>1453</v>
      </c>
      <c r="C99" s="256">
        <v>1.5</v>
      </c>
      <c r="E99" s="260" t="s">
        <v>1454</v>
      </c>
    </row>
    <row r="100" spans="1:5" x14ac:dyDescent="0.35">
      <c r="A100" s="264">
        <v>46233</v>
      </c>
      <c r="B100" s="256" t="s">
        <v>1610</v>
      </c>
      <c r="C100" s="256">
        <v>1.5</v>
      </c>
      <c r="E100" s="260" t="s">
        <v>1611</v>
      </c>
    </row>
    <row r="102" spans="1:5" x14ac:dyDescent="0.35">
      <c r="A102" s="258">
        <v>46234</v>
      </c>
      <c r="B102" s="259" t="s">
        <v>1898</v>
      </c>
      <c r="C102" s="259">
        <v>5</v>
      </c>
      <c r="D102" s="259">
        <v>9</v>
      </c>
      <c r="E102" s="263" t="s">
        <v>1565</v>
      </c>
    </row>
    <row r="103" spans="1:5" x14ac:dyDescent="0.35">
      <c r="A103" s="264">
        <v>46234</v>
      </c>
      <c r="B103" s="256" t="s">
        <v>1719</v>
      </c>
      <c r="C103" s="256">
        <v>4</v>
      </c>
      <c r="E103" s="256" t="s">
        <v>1899</v>
      </c>
    </row>
    <row r="105" spans="1:5" x14ac:dyDescent="0.35">
      <c r="A105" s="258">
        <v>46237</v>
      </c>
      <c r="B105" s="259" t="s">
        <v>1900</v>
      </c>
      <c r="C105" s="259">
        <v>5</v>
      </c>
      <c r="D105" s="259">
        <v>9</v>
      </c>
      <c r="E105" s="263" t="s">
        <v>1901</v>
      </c>
    </row>
    <row r="106" spans="1:5" x14ac:dyDescent="0.35">
      <c r="A106" s="264">
        <v>46237</v>
      </c>
      <c r="B106" s="256" t="s">
        <v>1719</v>
      </c>
      <c r="C106" s="256">
        <v>4</v>
      </c>
      <c r="E106" s="256" t="s">
        <v>1902</v>
      </c>
    </row>
  </sheetData>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47B4A-4B8A-471D-8DE0-FAB2DF63E6FF}">
  <dimension ref="A1:E139"/>
  <sheetViews>
    <sheetView topLeftCell="A71" workbookViewId="0">
      <selection activeCell="D88" sqref="D88"/>
    </sheetView>
  </sheetViews>
  <sheetFormatPr defaultRowHeight="14.5" x14ac:dyDescent="0.35"/>
  <cols>
    <col min="1" max="1" width="11.54296875" customWidth="1"/>
    <col min="2" max="2" width="49" customWidth="1"/>
    <col min="3" max="3" width="11.81640625" customWidth="1"/>
    <col min="4" max="4" width="16.26953125" customWidth="1"/>
    <col min="5" max="5" width="45.26953125" bestFit="1" customWidth="1"/>
  </cols>
  <sheetData>
    <row r="1" spans="1:5" ht="29" x14ac:dyDescent="0.35">
      <c r="A1" s="1" t="s">
        <v>0</v>
      </c>
      <c r="B1" s="1" t="s">
        <v>1</v>
      </c>
      <c r="C1" s="2" t="s">
        <v>2</v>
      </c>
      <c r="D1" s="2" t="s">
        <v>3</v>
      </c>
      <c r="E1" s="1" t="s">
        <v>4</v>
      </c>
    </row>
    <row r="2" spans="1:5" x14ac:dyDescent="0.35">
      <c r="A2" s="10" t="s">
        <v>5</v>
      </c>
      <c r="B2" s="10"/>
      <c r="C2" s="11"/>
      <c r="D2" s="11"/>
      <c r="E2" s="10"/>
    </row>
    <row r="3" spans="1:5" x14ac:dyDescent="0.35">
      <c r="A3" s="5">
        <v>46204</v>
      </c>
      <c r="B3" s="6" t="s">
        <v>6</v>
      </c>
      <c r="C3" s="7">
        <v>2</v>
      </c>
      <c r="D3" s="298">
        <v>9</v>
      </c>
      <c r="E3" s="6"/>
    </row>
    <row r="4" spans="1:5" x14ac:dyDescent="0.35">
      <c r="A4" s="5">
        <v>46204</v>
      </c>
      <c r="B4" s="6" t="s">
        <v>7</v>
      </c>
      <c r="C4" s="7">
        <v>6</v>
      </c>
      <c r="D4" s="299"/>
      <c r="E4" s="6"/>
    </row>
    <row r="5" spans="1:5" x14ac:dyDescent="0.35">
      <c r="A5" s="5">
        <v>46204</v>
      </c>
      <c r="B5" s="6" t="s">
        <v>8</v>
      </c>
      <c r="C5" s="7">
        <v>1</v>
      </c>
      <c r="D5" s="300"/>
      <c r="E5" s="6"/>
    </row>
    <row r="6" spans="1:5" x14ac:dyDescent="0.35">
      <c r="A6" s="12"/>
      <c r="B6" s="12"/>
      <c r="C6" s="13"/>
      <c r="D6" s="13"/>
      <c r="E6" s="12"/>
    </row>
    <row r="7" spans="1:5" x14ac:dyDescent="0.35">
      <c r="A7" s="9" t="s">
        <v>9</v>
      </c>
      <c r="B7" s="3"/>
      <c r="C7" s="4"/>
      <c r="D7" s="4"/>
      <c r="E7" s="3"/>
    </row>
    <row r="8" spans="1:5" ht="29" x14ac:dyDescent="0.35">
      <c r="A8" s="35">
        <v>46204</v>
      </c>
      <c r="B8" s="15" t="s">
        <v>1476</v>
      </c>
      <c r="C8" s="4">
        <v>7</v>
      </c>
      <c r="D8" s="404">
        <v>9</v>
      </c>
      <c r="E8" s="3"/>
    </row>
    <row r="9" spans="1:5" ht="14.5" customHeight="1" x14ac:dyDescent="0.35">
      <c r="A9" s="74">
        <v>46204</v>
      </c>
      <c r="B9" s="48" t="s">
        <v>1477</v>
      </c>
      <c r="C9" s="25">
        <v>1</v>
      </c>
      <c r="D9" s="364"/>
      <c r="E9" s="3"/>
    </row>
    <row r="10" spans="1:5" x14ac:dyDescent="0.35">
      <c r="A10" s="41">
        <v>46204</v>
      </c>
      <c r="B10" s="42" t="s">
        <v>1478</v>
      </c>
      <c r="C10" s="73">
        <v>1</v>
      </c>
      <c r="D10" s="432"/>
      <c r="E10" s="24"/>
    </row>
    <row r="11" spans="1:5" x14ac:dyDescent="0.35">
      <c r="A11" s="188"/>
      <c r="B11" s="188"/>
      <c r="C11" s="188"/>
      <c r="D11" s="188"/>
      <c r="E11" s="537"/>
    </row>
    <row r="12" spans="1:5" x14ac:dyDescent="0.35">
      <c r="A12" s="41">
        <v>46205</v>
      </c>
      <c r="B12" s="42" t="s">
        <v>636</v>
      </c>
      <c r="C12" s="73">
        <v>0</v>
      </c>
      <c r="D12" s="73">
        <v>0</v>
      </c>
      <c r="E12" s="24"/>
    </row>
    <row r="13" spans="1:5" x14ac:dyDescent="0.35">
      <c r="A13" s="538"/>
      <c r="B13" s="467"/>
      <c r="C13" s="466"/>
      <c r="D13" s="466"/>
      <c r="E13" s="12"/>
    </row>
    <row r="14" spans="1:5" ht="29" x14ac:dyDescent="0.35">
      <c r="A14" s="35">
        <v>46206</v>
      </c>
      <c r="B14" s="3" t="s">
        <v>1479</v>
      </c>
      <c r="C14" s="4">
        <v>2</v>
      </c>
      <c r="D14" s="301">
        <v>9</v>
      </c>
      <c r="E14" s="15" t="s">
        <v>1480</v>
      </c>
    </row>
    <row r="15" spans="1:5" x14ac:dyDescent="0.35">
      <c r="A15" s="35">
        <v>46206</v>
      </c>
      <c r="B15" s="3" t="s">
        <v>1481</v>
      </c>
      <c r="C15" s="4">
        <v>1.5</v>
      </c>
      <c r="D15" s="302"/>
      <c r="E15" s="3" t="s">
        <v>1482</v>
      </c>
    </row>
    <row r="16" spans="1:5" x14ac:dyDescent="0.35">
      <c r="A16" s="35">
        <v>46206</v>
      </c>
      <c r="B16" s="3" t="s">
        <v>1483</v>
      </c>
      <c r="C16" s="4">
        <v>0.5</v>
      </c>
      <c r="D16" s="302"/>
      <c r="E16" s="3"/>
    </row>
    <row r="17" spans="1:5" x14ac:dyDescent="0.35">
      <c r="A17" s="35">
        <v>46206</v>
      </c>
      <c r="B17" s="3" t="s">
        <v>1484</v>
      </c>
      <c r="C17" s="4">
        <v>3</v>
      </c>
      <c r="D17" s="302"/>
      <c r="E17" s="3"/>
    </row>
    <row r="18" spans="1:5" x14ac:dyDescent="0.35">
      <c r="A18" s="35">
        <v>46206</v>
      </c>
      <c r="B18" s="3" t="s">
        <v>1485</v>
      </c>
      <c r="C18" s="4">
        <v>0.5</v>
      </c>
      <c r="D18" s="302"/>
      <c r="E18" s="3"/>
    </row>
    <row r="19" spans="1:5" x14ac:dyDescent="0.35">
      <c r="A19" s="35">
        <v>46206</v>
      </c>
      <c r="B19" s="3" t="s">
        <v>1486</v>
      </c>
      <c r="C19" s="4">
        <v>0.5</v>
      </c>
      <c r="D19" s="302"/>
      <c r="E19" s="3"/>
    </row>
    <row r="20" spans="1:5" x14ac:dyDescent="0.35">
      <c r="A20" s="35">
        <v>46206</v>
      </c>
      <c r="B20" s="3" t="s">
        <v>1478</v>
      </c>
      <c r="C20" s="4">
        <v>1</v>
      </c>
      <c r="D20" s="303"/>
      <c r="E20" s="42" t="s">
        <v>1924</v>
      </c>
    </row>
    <row r="21" spans="1:5" x14ac:dyDescent="0.35">
      <c r="A21" s="43"/>
      <c r="B21" s="43"/>
      <c r="C21" s="31"/>
      <c r="D21" s="31"/>
      <c r="E21" s="43"/>
    </row>
    <row r="22" spans="1:5" x14ac:dyDescent="0.35">
      <c r="A22" s="41">
        <v>46209</v>
      </c>
      <c r="B22" s="42" t="s">
        <v>1487</v>
      </c>
      <c r="C22" s="151">
        <v>1.5</v>
      </c>
      <c r="D22" s="315">
        <v>9.5</v>
      </c>
      <c r="E22" s="42" t="s">
        <v>1488</v>
      </c>
    </row>
    <row r="23" spans="1:5" x14ac:dyDescent="0.35">
      <c r="A23" s="41">
        <v>46209</v>
      </c>
      <c r="B23" s="42" t="s">
        <v>1489</v>
      </c>
      <c r="C23" s="151">
        <v>3</v>
      </c>
      <c r="D23" s="315"/>
      <c r="E23" s="42" t="s">
        <v>1490</v>
      </c>
    </row>
    <row r="24" spans="1:5" x14ac:dyDescent="0.35">
      <c r="A24" s="41">
        <v>46209</v>
      </c>
      <c r="B24" s="42" t="s">
        <v>1491</v>
      </c>
      <c r="C24" s="151">
        <v>1</v>
      </c>
      <c r="D24" s="315"/>
      <c r="E24" s="42" t="s">
        <v>1492</v>
      </c>
    </row>
    <row r="25" spans="1:5" x14ac:dyDescent="0.35">
      <c r="A25" s="41">
        <v>46209</v>
      </c>
      <c r="B25" s="42" t="s">
        <v>1493</v>
      </c>
      <c r="C25" s="151">
        <v>2</v>
      </c>
      <c r="D25" s="315"/>
      <c r="E25" s="42" t="s">
        <v>1494</v>
      </c>
    </row>
    <row r="26" spans="1:5" x14ac:dyDescent="0.35">
      <c r="A26" s="41">
        <v>46209</v>
      </c>
      <c r="B26" s="42" t="s">
        <v>1495</v>
      </c>
      <c r="C26" s="151">
        <v>1</v>
      </c>
      <c r="D26" s="315"/>
      <c r="E26" s="42" t="s">
        <v>1496</v>
      </c>
    </row>
    <row r="27" spans="1:5" x14ac:dyDescent="0.35">
      <c r="A27" s="41">
        <v>46209</v>
      </c>
      <c r="B27" s="42" t="s">
        <v>1478</v>
      </c>
      <c r="C27" s="151">
        <v>1</v>
      </c>
      <c r="D27" s="315"/>
      <c r="E27" s="42" t="s">
        <v>1924</v>
      </c>
    </row>
    <row r="28" spans="1:5" x14ac:dyDescent="0.35">
      <c r="A28" s="78"/>
      <c r="B28" s="78"/>
      <c r="C28" s="78"/>
      <c r="D28" s="78"/>
      <c r="E28" s="78"/>
    </row>
    <row r="29" spans="1:5" x14ac:dyDescent="0.35">
      <c r="A29" s="435">
        <v>46210</v>
      </c>
      <c r="B29" s="42" t="s">
        <v>1497</v>
      </c>
      <c r="C29" s="42">
        <v>1.5</v>
      </c>
      <c r="D29" s="433">
        <v>9.5</v>
      </c>
      <c r="E29" s="42" t="s">
        <v>1498</v>
      </c>
    </row>
    <row r="30" spans="1:5" x14ac:dyDescent="0.35">
      <c r="A30" s="435"/>
      <c r="B30" s="42" t="s">
        <v>1499</v>
      </c>
      <c r="C30" s="42">
        <v>3.5</v>
      </c>
      <c r="D30" s="433"/>
      <c r="E30" s="42" t="s">
        <v>1500</v>
      </c>
    </row>
    <row r="31" spans="1:5" x14ac:dyDescent="0.35">
      <c r="A31" s="435"/>
      <c r="B31" s="42" t="s">
        <v>1501</v>
      </c>
      <c r="C31" s="42">
        <v>0.5</v>
      </c>
      <c r="D31" s="433"/>
      <c r="E31" s="42" t="s">
        <v>1502</v>
      </c>
    </row>
    <row r="32" spans="1:5" ht="43.5" x14ac:dyDescent="0.35">
      <c r="A32" s="435"/>
      <c r="B32" s="42" t="s">
        <v>1503</v>
      </c>
      <c r="C32" s="42">
        <v>3</v>
      </c>
      <c r="D32" s="433"/>
      <c r="E32" s="108" t="s">
        <v>1504</v>
      </c>
    </row>
    <row r="33" spans="1:5" x14ac:dyDescent="0.35">
      <c r="A33" s="435"/>
      <c r="B33" s="42" t="s">
        <v>1505</v>
      </c>
      <c r="C33" s="42">
        <v>0.5</v>
      </c>
      <c r="D33" s="433"/>
      <c r="E33" s="42" t="s">
        <v>1506</v>
      </c>
    </row>
    <row r="34" spans="1:5" x14ac:dyDescent="0.35">
      <c r="A34" s="435"/>
      <c r="B34" s="42" t="s">
        <v>8</v>
      </c>
      <c r="C34" s="42">
        <v>0.5</v>
      </c>
      <c r="D34" s="433"/>
      <c r="E34" s="42"/>
    </row>
    <row r="35" spans="1:5" x14ac:dyDescent="0.35">
      <c r="A35" s="78"/>
      <c r="B35" s="78"/>
      <c r="C35" s="78"/>
      <c r="D35" s="78"/>
      <c r="E35" s="78"/>
    </row>
    <row r="36" spans="1:5" ht="58" x14ac:dyDescent="0.35">
      <c r="A36" s="41">
        <v>46211</v>
      </c>
      <c r="B36" s="42" t="s">
        <v>1507</v>
      </c>
      <c r="C36" s="42">
        <v>3.5</v>
      </c>
      <c r="D36" s="407">
        <v>9</v>
      </c>
      <c r="E36" s="108" t="s">
        <v>1508</v>
      </c>
    </row>
    <row r="37" spans="1:5" x14ac:dyDescent="0.35">
      <c r="A37" s="41">
        <v>46211</v>
      </c>
      <c r="B37" s="42" t="s">
        <v>1499</v>
      </c>
      <c r="C37" s="42">
        <v>1.5</v>
      </c>
      <c r="D37" s="408"/>
      <c r="E37" s="42" t="s">
        <v>1509</v>
      </c>
    </row>
    <row r="38" spans="1:5" ht="29" x14ac:dyDescent="0.35">
      <c r="A38" s="41">
        <v>46211</v>
      </c>
      <c r="B38" s="108" t="s">
        <v>1510</v>
      </c>
      <c r="C38" s="42">
        <v>1.5</v>
      </c>
      <c r="D38" s="408"/>
      <c r="E38" s="108" t="s">
        <v>1511</v>
      </c>
    </row>
    <row r="39" spans="1:5" x14ac:dyDescent="0.35">
      <c r="A39" s="41">
        <v>46211</v>
      </c>
      <c r="B39" s="42" t="s">
        <v>1478</v>
      </c>
      <c r="C39" s="42">
        <v>1</v>
      </c>
      <c r="D39" s="408"/>
      <c r="E39" s="42"/>
    </row>
    <row r="40" spans="1:5" ht="43.5" x14ac:dyDescent="0.35">
      <c r="A40" s="41">
        <v>46211</v>
      </c>
      <c r="B40" s="42" t="s">
        <v>1512</v>
      </c>
      <c r="C40" s="42">
        <v>1.5</v>
      </c>
      <c r="D40" s="409"/>
      <c r="E40" s="108" t="s">
        <v>1513</v>
      </c>
    </row>
    <row r="41" spans="1:5" x14ac:dyDescent="0.35">
      <c r="A41" s="539"/>
      <c r="B41" s="188"/>
      <c r="C41" s="188"/>
      <c r="D41" s="188"/>
      <c r="E41" s="188"/>
    </row>
    <row r="42" spans="1:5" x14ac:dyDescent="0.35">
      <c r="A42" s="41">
        <v>46212</v>
      </c>
      <c r="B42" s="42" t="s">
        <v>1514</v>
      </c>
      <c r="C42" s="200">
        <v>1.5</v>
      </c>
      <c r="D42" s="433">
        <v>9</v>
      </c>
      <c r="E42" s="42" t="s">
        <v>1515</v>
      </c>
    </row>
    <row r="43" spans="1:5" x14ac:dyDescent="0.35">
      <c r="A43" s="41">
        <v>46212</v>
      </c>
      <c r="B43" s="42" t="s">
        <v>1516</v>
      </c>
      <c r="C43" s="200">
        <v>1</v>
      </c>
      <c r="D43" s="433"/>
      <c r="E43" s="42" t="s">
        <v>1517</v>
      </c>
    </row>
    <row r="44" spans="1:5" x14ac:dyDescent="0.35">
      <c r="A44" s="41">
        <v>46212</v>
      </c>
      <c r="B44" s="42" t="s">
        <v>1518</v>
      </c>
      <c r="C44" s="200">
        <v>0.5</v>
      </c>
      <c r="D44" s="433"/>
      <c r="E44" s="42" t="s">
        <v>1519</v>
      </c>
    </row>
    <row r="45" spans="1:5" ht="29" x14ac:dyDescent="0.35">
      <c r="A45" s="41">
        <v>46212</v>
      </c>
      <c r="B45" s="42" t="s">
        <v>1520</v>
      </c>
      <c r="C45" s="200">
        <v>1.5</v>
      </c>
      <c r="D45" s="433"/>
      <c r="E45" s="108" t="s">
        <v>1521</v>
      </c>
    </row>
    <row r="46" spans="1:5" ht="29" x14ac:dyDescent="0.35">
      <c r="A46" s="41">
        <v>46212</v>
      </c>
      <c r="B46" s="42" t="s">
        <v>1522</v>
      </c>
      <c r="C46" s="200">
        <v>3</v>
      </c>
      <c r="D46" s="433"/>
      <c r="E46" s="108" t="s">
        <v>1523</v>
      </c>
    </row>
    <row r="47" spans="1:5" x14ac:dyDescent="0.35">
      <c r="A47" s="41">
        <v>46212</v>
      </c>
      <c r="B47" s="42" t="s">
        <v>1478</v>
      </c>
      <c r="C47" s="200">
        <v>1.5</v>
      </c>
      <c r="D47" s="433"/>
      <c r="E47" s="42"/>
    </row>
    <row r="48" spans="1:5" x14ac:dyDescent="0.35">
      <c r="A48" s="78"/>
      <c r="B48" s="78"/>
      <c r="C48" s="78"/>
      <c r="D48" s="78"/>
      <c r="E48" s="78"/>
    </row>
    <row r="49" spans="1:5" ht="58" x14ac:dyDescent="0.35">
      <c r="A49" s="41">
        <v>46213</v>
      </c>
      <c r="B49" s="42" t="s">
        <v>1524</v>
      </c>
      <c r="C49" s="42">
        <v>2</v>
      </c>
      <c r="D49" s="433">
        <v>9</v>
      </c>
      <c r="E49" s="108" t="s">
        <v>1525</v>
      </c>
    </row>
    <row r="50" spans="1:5" x14ac:dyDescent="0.35">
      <c r="A50" s="41">
        <v>46213</v>
      </c>
      <c r="B50" s="42" t="s">
        <v>1522</v>
      </c>
      <c r="C50" s="42">
        <v>1.5</v>
      </c>
      <c r="D50" s="433"/>
      <c r="E50" s="42" t="s">
        <v>1526</v>
      </c>
    </row>
    <row r="51" spans="1:5" x14ac:dyDescent="0.35">
      <c r="A51" s="41">
        <v>46213</v>
      </c>
      <c r="B51" s="42" t="s">
        <v>1527</v>
      </c>
      <c r="C51" s="42">
        <v>0.5</v>
      </c>
      <c r="D51" s="433"/>
      <c r="E51" s="42" t="s">
        <v>1528</v>
      </c>
    </row>
    <row r="52" spans="1:5" x14ac:dyDescent="0.35">
      <c r="A52" s="41">
        <v>46213</v>
      </c>
      <c r="B52" s="42" t="s">
        <v>1529</v>
      </c>
      <c r="C52" s="42">
        <v>1</v>
      </c>
      <c r="D52" s="433"/>
      <c r="E52" s="42"/>
    </row>
    <row r="53" spans="1:5" ht="29" x14ac:dyDescent="0.35">
      <c r="A53" s="41">
        <v>46213</v>
      </c>
      <c r="B53" s="42" t="s">
        <v>1530</v>
      </c>
      <c r="C53" s="42">
        <v>2.5</v>
      </c>
      <c r="D53" s="433"/>
      <c r="E53" s="108" t="s">
        <v>1531</v>
      </c>
    </row>
    <row r="54" spans="1:5" x14ac:dyDescent="0.35">
      <c r="A54" s="157">
        <v>46213</v>
      </c>
      <c r="B54" s="166" t="s">
        <v>1478</v>
      </c>
      <c r="C54" s="166">
        <v>1.5</v>
      </c>
      <c r="D54" s="434"/>
      <c r="E54" s="166"/>
    </row>
    <row r="55" spans="1:5" x14ac:dyDescent="0.35">
      <c r="A55" s="188"/>
      <c r="B55" s="188"/>
      <c r="C55" s="188"/>
      <c r="D55" s="188"/>
      <c r="E55" s="188"/>
    </row>
    <row r="56" spans="1:5" x14ac:dyDescent="0.35">
      <c r="A56" s="41">
        <v>46216</v>
      </c>
      <c r="B56" s="42" t="s">
        <v>1532</v>
      </c>
      <c r="C56" s="42">
        <v>6</v>
      </c>
      <c r="D56" s="433">
        <v>9</v>
      </c>
      <c r="E56" s="42"/>
    </row>
    <row r="57" spans="1:5" x14ac:dyDescent="0.35">
      <c r="A57" s="41">
        <v>46216</v>
      </c>
      <c r="B57" s="42" t="s">
        <v>1533</v>
      </c>
      <c r="C57" s="42">
        <v>1</v>
      </c>
      <c r="D57" s="433"/>
      <c r="E57" s="42"/>
    </row>
    <row r="58" spans="1:5" x14ac:dyDescent="0.35">
      <c r="A58" s="41">
        <v>46216</v>
      </c>
      <c r="B58" s="42" t="s">
        <v>1534</v>
      </c>
      <c r="C58" s="42">
        <v>0.5</v>
      </c>
      <c r="D58" s="433"/>
      <c r="E58" s="42"/>
    </row>
    <row r="59" spans="1:5" x14ac:dyDescent="0.35">
      <c r="A59" s="41">
        <v>46216</v>
      </c>
      <c r="B59" s="42" t="s">
        <v>1478</v>
      </c>
      <c r="C59" s="42">
        <v>1.5</v>
      </c>
      <c r="D59" s="433"/>
      <c r="E59" s="42"/>
    </row>
    <row r="60" spans="1:5" x14ac:dyDescent="0.35">
      <c r="A60" s="462"/>
      <c r="B60" s="462"/>
      <c r="C60" s="462"/>
      <c r="D60" s="462"/>
      <c r="E60" s="462"/>
    </row>
    <row r="61" spans="1:5" x14ac:dyDescent="0.35">
      <c r="A61" s="41">
        <v>46217</v>
      </c>
      <c r="B61" s="42" t="s">
        <v>1532</v>
      </c>
      <c r="C61" s="225">
        <v>5</v>
      </c>
      <c r="D61" s="321">
        <v>9</v>
      </c>
      <c r="E61" s="160"/>
    </row>
    <row r="62" spans="1:5" x14ac:dyDescent="0.35">
      <c r="A62" s="41">
        <v>46217</v>
      </c>
      <c r="B62" s="42" t="s">
        <v>1535</v>
      </c>
      <c r="C62" s="225">
        <v>1.5</v>
      </c>
      <c r="D62" s="321"/>
      <c r="E62" s="160"/>
    </row>
    <row r="63" spans="1:5" x14ac:dyDescent="0.35">
      <c r="A63" s="41">
        <v>46217</v>
      </c>
      <c r="B63" s="42" t="s">
        <v>1536</v>
      </c>
      <c r="C63" s="225">
        <v>1</v>
      </c>
      <c r="D63" s="321"/>
      <c r="E63" s="160" t="s">
        <v>1537</v>
      </c>
    </row>
    <row r="64" spans="1:5" x14ac:dyDescent="0.35">
      <c r="A64" s="41">
        <v>46217</v>
      </c>
      <c r="B64" s="42" t="s">
        <v>1478</v>
      </c>
      <c r="C64" s="225">
        <v>1.5</v>
      </c>
      <c r="D64" s="321"/>
      <c r="E64" s="42" t="s">
        <v>1924</v>
      </c>
    </row>
    <row r="65" spans="1:5" x14ac:dyDescent="0.35">
      <c r="A65" s="78"/>
      <c r="B65" s="78"/>
      <c r="C65" s="78"/>
      <c r="D65" s="78"/>
      <c r="E65" s="78"/>
    </row>
    <row r="66" spans="1:5" x14ac:dyDescent="0.35">
      <c r="A66" s="41">
        <v>46218</v>
      </c>
      <c r="B66" s="42" t="s">
        <v>1538</v>
      </c>
      <c r="C66" s="42">
        <v>1.5</v>
      </c>
      <c r="D66" s="433">
        <v>9</v>
      </c>
      <c r="E66" s="42" t="s">
        <v>1539</v>
      </c>
    </row>
    <row r="67" spans="1:5" x14ac:dyDescent="0.35">
      <c r="A67" s="41">
        <v>46218</v>
      </c>
      <c r="B67" s="42" t="s">
        <v>1540</v>
      </c>
      <c r="C67" s="42">
        <v>1.5</v>
      </c>
      <c r="D67" s="433"/>
      <c r="E67" s="42" t="s">
        <v>1541</v>
      </c>
    </row>
    <row r="68" spans="1:5" ht="29" x14ac:dyDescent="0.35">
      <c r="A68" s="41">
        <v>46218</v>
      </c>
      <c r="B68" s="42" t="s">
        <v>1542</v>
      </c>
      <c r="C68" s="42">
        <v>2</v>
      </c>
      <c r="D68" s="433"/>
      <c r="E68" s="108" t="s">
        <v>1543</v>
      </c>
    </row>
    <row r="69" spans="1:5" ht="29" x14ac:dyDescent="0.35">
      <c r="A69" s="41">
        <v>46218</v>
      </c>
      <c r="B69" s="42" t="s">
        <v>1544</v>
      </c>
      <c r="C69" s="42">
        <v>1</v>
      </c>
      <c r="D69" s="433"/>
      <c r="E69" s="108" t="s">
        <v>1545</v>
      </c>
    </row>
    <row r="70" spans="1:5" x14ac:dyDescent="0.35">
      <c r="A70" s="41">
        <v>46218</v>
      </c>
      <c r="B70" s="42" t="s">
        <v>1546</v>
      </c>
      <c r="C70" s="42">
        <v>2</v>
      </c>
      <c r="D70" s="433"/>
      <c r="E70" s="42" t="s">
        <v>1547</v>
      </c>
    </row>
    <row r="71" spans="1:5" x14ac:dyDescent="0.35">
      <c r="A71" s="41">
        <v>46218</v>
      </c>
      <c r="B71" s="42" t="s">
        <v>1478</v>
      </c>
      <c r="C71" s="42">
        <v>1</v>
      </c>
      <c r="D71" s="433"/>
      <c r="E71" s="42" t="s">
        <v>1924</v>
      </c>
    </row>
    <row r="72" spans="1:5" x14ac:dyDescent="0.35">
      <c r="A72" s="78"/>
      <c r="B72" s="78"/>
      <c r="C72" s="78"/>
      <c r="D72" s="78"/>
      <c r="E72" s="78"/>
    </row>
    <row r="73" spans="1:5" x14ac:dyDescent="0.35">
      <c r="A73" s="41">
        <v>46219</v>
      </c>
      <c r="B73" s="42" t="s">
        <v>1548</v>
      </c>
      <c r="C73" s="42">
        <v>1</v>
      </c>
      <c r="D73" s="321">
        <v>9</v>
      </c>
      <c r="E73" s="42"/>
    </row>
    <row r="74" spans="1:5" ht="29" x14ac:dyDescent="0.35">
      <c r="A74" s="41">
        <v>46219</v>
      </c>
      <c r="B74" s="108" t="s">
        <v>1549</v>
      </c>
      <c r="C74" s="42">
        <v>1</v>
      </c>
      <c r="D74" s="321"/>
      <c r="E74" s="42"/>
    </row>
    <row r="75" spans="1:5" x14ac:dyDescent="0.35">
      <c r="A75" s="41">
        <v>46219</v>
      </c>
      <c r="B75" s="42" t="s">
        <v>1550</v>
      </c>
      <c r="C75" s="42">
        <v>4</v>
      </c>
      <c r="D75" s="321"/>
      <c r="E75" s="42"/>
    </row>
    <row r="76" spans="1:5" x14ac:dyDescent="0.35">
      <c r="A76" s="41">
        <v>46219</v>
      </c>
      <c r="B76" s="42" t="s">
        <v>1551</v>
      </c>
      <c r="C76" s="42">
        <v>1.5</v>
      </c>
      <c r="D76" s="321"/>
      <c r="E76" s="42"/>
    </row>
    <row r="77" spans="1:5" x14ac:dyDescent="0.35">
      <c r="A77" s="41">
        <v>46219</v>
      </c>
      <c r="B77" s="42" t="s">
        <v>1552</v>
      </c>
      <c r="C77" s="42">
        <v>0.5</v>
      </c>
      <c r="D77" s="321"/>
      <c r="E77" s="42"/>
    </row>
    <row r="78" spans="1:5" x14ac:dyDescent="0.35">
      <c r="A78" s="41">
        <v>46219</v>
      </c>
      <c r="B78" s="42" t="s">
        <v>1478</v>
      </c>
      <c r="C78" s="42">
        <v>1</v>
      </c>
      <c r="D78" s="321"/>
      <c r="E78" s="42"/>
    </row>
    <row r="79" spans="1:5" x14ac:dyDescent="0.35">
      <c r="A79" s="78"/>
      <c r="B79" s="78"/>
      <c r="C79" s="78"/>
      <c r="D79" s="78"/>
      <c r="E79" s="78"/>
    </row>
    <row r="80" spans="1:5" x14ac:dyDescent="0.35">
      <c r="A80" s="41">
        <v>46220</v>
      </c>
      <c r="B80" s="42" t="s">
        <v>1553</v>
      </c>
      <c r="C80" s="42">
        <v>7</v>
      </c>
      <c r="D80" s="433">
        <v>9</v>
      </c>
      <c r="E80" s="42" t="s">
        <v>1554</v>
      </c>
    </row>
    <row r="81" spans="1:5" x14ac:dyDescent="0.35">
      <c r="A81" s="41">
        <v>46220</v>
      </c>
      <c r="B81" s="42" t="s">
        <v>1555</v>
      </c>
      <c r="C81" s="42">
        <v>0.5</v>
      </c>
      <c r="D81" s="433"/>
      <c r="E81" s="42"/>
    </row>
    <row r="82" spans="1:5" x14ac:dyDescent="0.35">
      <c r="A82" s="41">
        <v>46220</v>
      </c>
      <c r="B82" s="42" t="s">
        <v>1478</v>
      </c>
      <c r="C82" s="42">
        <v>1.5</v>
      </c>
      <c r="D82" s="433"/>
      <c r="E82" s="42"/>
    </row>
    <row r="83" spans="1:5" x14ac:dyDescent="0.35">
      <c r="A83" s="78"/>
      <c r="B83" s="78"/>
      <c r="C83" s="78"/>
      <c r="D83" s="78"/>
      <c r="E83" s="78"/>
    </row>
    <row r="84" spans="1:5" x14ac:dyDescent="0.35">
      <c r="A84" s="41">
        <v>46223</v>
      </c>
      <c r="B84" s="42" t="s">
        <v>1553</v>
      </c>
      <c r="C84" s="42">
        <v>6.5</v>
      </c>
      <c r="D84" s="433">
        <v>9</v>
      </c>
      <c r="E84" s="42"/>
    </row>
    <row r="85" spans="1:5" x14ac:dyDescent="0.35">
      <c r="A85" s="41">
        <v>46223</v>
      </c>
      <c r="B85" s="42" t="s">
        <v>1556</v>
      </c>
      <c r="C85" s="42">
        <v>1.5</v>
      </c>
      <c r="D85" s="433"/>
      <c r="E85" s="42"/>
    </row>
    <row r="86" spans="1:5" x14ac:dyDescent="0.35">
      <c r="A86" s="41">
        <v>46223</v>
      </c>
      <c r="B86" s="42" t="s">
        <v>1478</v>
      </c>
      <c r="C86" s="42">
        <v>1</v>
      </c>
      <c r="D86" s="433"/>
      <c r="E86" s="42"/>
    </row>
    <row r="87" spans="1:5" x14ac:dyDescent="0.35">
      <c r="A87" s="78"/>
      <c r="B87" s="78"/>
      <c r="C87" s="78"/>
      <c r="D87" s="78"/>
      <c r="E87" s="78"/>
    </row>
    <row r="88" spans="1:5" x14ac:dyDescent="0.35">
      <c r="A88" s="41">
        <v>46224</v>
      </c>
      <c r="B88" s="42" t="s">
        <v>1557</v>
      </c>
      <c r="C88" s="42"/>
      <c r="D88" s="42"/>
      <c r="E88" s="42"/>
    </row>
    <row r="89" spans="1:5" x14ac:dyDescent="0.35">
      <c r="A89" s="78"/>
      <c r="B89" s="78"/>
      <c r="C89" s="78"/>
      <c r="D89" s="78"/>
      <c r="E89" s="78"/>
    </row>
    <row r="90" spans="1:5" x14ac:dyDescent="0.35">
      <c r="A90" s="41">
        <v>46225</v>
      </c>
      <c r="B90" s="42" t="s">
        <v>1558</v>
      </c>
      <c r="C90" s="42">
        <v>1</v>
      </c>
      <c r="D90" s="321">
        <v>9</v>
      </c>
      <c r="E90" s="42"/>
    </row>
    <row r="91" spans="1:5" x14ac:dyDescent="0.35">
      <c r="A91" s="41">
        <v>46225</v>
      </c>
      <c r="B91" s="42" t="s">
        <v>1559</v>
      </c>
      <c r="C91" s="42">
        <v>5</v>
      </c>
      <c r="D91" s="321"/>
      <c r="E91" s="42"/>
    </row>
    <row r="92" spans="1:5" x14ac:dyDescent="0.35">
      <c r="A92" s="41">
        <v>46225</v>
      </c>
      <c r="B92" s="42" t="s">
        <v>1560</v>
      </c>
      <c r="C92" s="42">
        <v>1</v>
      </c>
      <c r="D92" s="321"/>
      <c r="E92" s="42"/>
    </row>
    <row r="93" spans="1:5" x14ac:dyDescent="0.35">
      <c r="A93" s="41">
        <v>46225</v>
      </c>
      <c r="B93" s="42" t="s">
        <v>1478</v>
      </c>
      <c r="C93" s="42">
        <v>1</v>
      </c>
      <c r="D93" s="321"/>
      <c r="E93" s="42"/>
    </row>
    <row r="94" spans="1:5" x14ac:dyDescent="0.35">
      <c r="A94" s="41">
        <v>46225</v>
      </c>
      <c r="B94" s="42" t="s">
        <v>1561</v>
      </c>
      <c r="C94" s="42">
        <v>1</v>
      </c>
      <c r="D94" s="321"/>
      <c r="E94" s="42"/>
    </row>
    <row r="95" spans="1:5" x14ac:dyDescent="0.35">
      <c r="A95" s="188"/>
      <c r="B95" s="188"/>
      <c r="C95" s="188"/>
      <c r="D95" s="188"/>
      <c r="E95" s="188"/>
    </row>
    <row r="96" spans="1:5" x14ac:dyDescent="0.35">
      <c r="A96" s="41">
        <v>46226</v>
      </c>
      <c r="B96" s="42" t="s">
        <v>1562</v>
      </c>
      <c r="C96" s="42">
        <v>5</v>
      </c>
      <c r="D96" s="321">
        <v>9</v>
      </c>
      <c r="E96" s="42"/>
    </row>
    <row r="97" spans="1:5" ht="29" x14ac:dyDescent="0.35">
      <c r="A97" s="41">
        <v>46226</v>
      </c>
      <c r="B97" s="108" t="s">
        <v>1563</v>
      </c>
      <c r="C97" s="42">
        <v>2.5</v>
      </c>
      <c r="D97" s="321"/>
      <c r="E97" s="42"/>
    </row>
    <row r="98" spans="1:5" x14ac:dyDescent="0.35">
      <c r="A98" s="41">
        <v>46226</v>
      </c>
      <c r="B98" s="42" t="s">
        <v>1478</v>
      </c>
      <c r="C98" s="42">
        <v>1.5</v>
      </c>
      <c r="D98" s="321"/>
      <c r="E98" s="42"/>
    </row>
    <row r="99" spans="1:5" x14ac:dyDescent="0.35">
      <c r="A99" s="78"/>
      <c r="B99" s="78"/>
      <c r="C99" s="78"/>
      <c r="D99" s="78"/>
      <c r="E99" s="78"/>
    </row>
    <row r="100" spans="1:5" x14ac:dyDescent="0.35">
      <c r="A100" s="41">
        <v>46227</v>
      </c>
      <c r="B100" s="42" t="s">
        <v>1630</v>
      </c>
      <c r="C100" s="42">
        <v>4</v>
      </c>
      <c r="D100" s="321">
        <v>9.5</v>
      </c>
      <c r="E100" s="42"/>
    </row>
    <row r="101" spans="1:5" x14ac:dyDescent="0.35">
      <c r="A101" s="41">
        <v>46227</v>
      </c>
      <c r="B101" s="42" t="s">
        <v>1558</v>
      </c>
      <c r="C101" s="42">
        <v>2</v>
      </c>
      <c r="D101" s="321"/>
      <c r="E101" s="42"/>
    </row>
    <row r="102" spans="1:5" ht="43.5" x14ac:dyDescent="0.35">
      <c r="A102" s="41">
        <v>46227</v>
      </c>
      <c r="B102" s="108" t="s">
        <v>1635</v>
      </c>
      <c r="C102" s="42">
        <v>2</v>
      </c>
      <c r="D102" s="321"/>
      <c r="E102" s="42"/>
    </row>
    <row r="103" spans="1:5" x14ac:dyDescent="0.35">
      <c r="A103" s="41">
        <v>46227</v>
      </c>
      <c r="B103" s="42" t="s">
        <v>1478</v>
      </c>
      <c r="C103" s="42">
        <v>1.5</v>
      </c>
      <c r="D103" s="321"/>
      <c r="E103" s="42"/>
    </row>
    <row r="104" spans="1:5" x14ac:dyDescent="0.35">
      <c r="A104" s="188"/>
      <c r="B104" s="188"/>
      <c r="C104" s="188"/>
      <c r="D104" s="188"/>
      <c r="E104" s="188"/>
    </row>
    <row r="105" spans="1:5" ht="29" x14ac:dyDescent="0.35">
      <c r="A105" s="41">
        <v>46230</v>
      </c>
      <c r="B105" s="108" t="s">
        <v>1938</v>
      </c>
      <c r="C105" s="42" t="s">
        <v>1828</v>
      </c>
      <c r="D105" s="407">
        <v>9</v>
      </c>
      <c r="E105" s="42"/>
    </row>
    <row r="106" spans="1:5" ht="29" x14ac:dyDescent="0.35">
      <c r="A106" s="41">
        <v>46230</v>
      </c>
      <c r="B106" s="108" t="s">
        <v>1937</v>
      </c>
      <c r="C106" s="42" t="s">
        <v>1711</v>
      </c>
      <c r="D106" s="408"/>
      <c r="E106" s="42"/>
    </row>
    <row r="107" spans="1:5" ht="29" x14ac:dyDescent="0.35">
      <c r="A107" s="41">
        <v>46230</v>
      </c>
      <c r="B107" s="108" t="s">
        <v>1939</v>
      </c>
      <c r="C107" s="42" t="s">
        <v>1940</v>
      </c>
      <c r="D107" s="408"/>
      <c r="E107" s="42"/>
    </row>
    <row r="108" spans="1:5" x14ac:dyDescent="0.35">
      <c r="A108" s="41">
        <v>46230</v>
      </c>
      <c r="B108" s="42" t="s">
        <v>1478</v>
      </c>
      <c r="C108" s="42" t="s">
        <v>1826</v>
      </c>
      <c r="D108" s="409"/>
      <c r="E108" s="42"/>
    </row>
    <row r="109" spans="1:5" x14ac:dyDescent="0.35">
      <c r="A109" s="78"/>
      <c r="B109" s="78"/>
      <c r="C109" s="78"/>
      <c r="D109" s="78"/>
      <c r="E109" s="78"/>
    </row>
    <row r="110" spans="1:5" x14ac:dyDescent="0.35">
      <c r="A110" s="41">
        <v>46231</v>
      </c>
      <c r="B110" s="42" t="s">
        <v>1644</v>
      </c>
      <c r="C110" s="42">
        <v>1.5</v>
      </c>
      <c r="D110" s="321">
        <v>9</v>
      </c>
      <c r="E110" s="42" t="s">
        <v>1645</v>
      </c>
    </row>
    <row r="111" spans="1:5" x14ac:dyDescent="0.35">
      <c r="A111" s="41">
        <v>46231</v>
      </c>
      <c r="B111" s="42" t="s">
        <v>1646</v>
      </c>
      <c r="C111" s="42">
        <v>1</v>
      </c>
      <c r="D111" s="321"/>
      <c r="E111" s="42" t="s">
        <v>1715</v>
      </c>
    </row>
    <row r="112" spans="1:5" x14ac:dyDescent="0.35">
      <c r="A112" s="41">
        <v>46231</v>
      </c>
      <c r="B112" s="42" t="s">
        <v>1713</v>
      </c>
      <c r="C112" s="42">
        <v>2.5</v>
      </c>
      <c r="D112" s="321"/>
      <c r="E112" s="42" t="s">
        <v>1716</v>
      </c>
    </row>
    <row r="113" spans="1:5" x14ac:dyDescent="0.35">
      <c r="A113" s="41">
        <v>46231</v>
      </c>
      <c r="B113" s="42" t="s">
        <v>1714</v>
      </c>
      <c r="C113" s="42">
        <v>2.5</v>
      </c>
      <c r="D113" s="321"/>
      <c r="E113" s="42" t="s">
        <v>1718</v>
      </c>
    </row>
    <row r="114" spans="1:5" x14ac:dyDescent="0.35">
      <c r="A114" s="41">
        <v>46231</v>
      </c>
      <c r="B114" s="42" t="s">
        <v>1478</v>
      </c>
      <c r="C114" s="42">
        <v>1.5</v>
      </c>
      <c r="D114" s="321"/>
      <c r="E114" s="42"/>
    </row>
    <row r="115" spans="1:5" x14ac:dyDescent="0.35">
      <c r="A115" s="78"/>
      <c r="B115" s="78"/>
      <c r="C115" s="78"/>
      <c r="D115" s="78"/>
      <c r="E115" s="78"/>
    </row>
    <row r="116" spans="1:5" x14ac:dyDescent="0.35">
      <c r="A116" s="41">
        <v>46232</v>
      </c>
      <c r="B116" s="42" t="s">
        <v>1710</v>
      </c>
      <c r="C116" s="42" t="s">
        <v>1828</v>
      </c>
      <c r="D116" s="321">
        <v>9</v>
      </c>
      <c r="E116" s="42" t="s">
        <v>1712</v>
      </c>
    </row>
    <row r="117" spans="1:5" ht="29" x14ac:dyDescent="0.35">
      <c r="A117" s="41">
        <v>46232</v>
      </c>
      <c r="B117" s="42" t="s">
        <v>1829</v>
      </c>
      <c r="C117" s="42" t="s">
        <v>1711</v>
      </c>
      <c r="D117" s="321"/>
      <c r="E117" s="108" t="s">
        <v>1915</v>
      </c>
    </row>
    <row r="118" spans="1:5" x14ac:dyDescent="0.35">
      <c r="A118" s="41">
        <v>46232</v>
      </c>
      <c r="B118" s="42" t="s">
        <v>1830</v>
      </c>
      <c r="C118" s="42" t="s">
        <v>1828</v>
      </c>
      <c r="D118" s="321"/>
      <c r="E118" s="42" t="s">
        <v>1941</v>
      </c>
    </row>
    <row r="119" spans="1:5" x14ac:dyDescent="0.35">
      <c r="A119" s="41">
        <v>46232</v>
      </c>
      <c r="B119" s="42" t="s">
        <v>1478</v>
      </c>
      <c r="C119" s="42" t="s">
        <v>388</v>
      </c>
      <c r="D119" s="321"/>
      <c r="E119" s="42"/>
    </row>
    <row r="120" spans="1:5" x14ac:dyDescent="0.35">
      <c r="A120" s="78"/>
      <c r="B120" s="78"/>
      <c r="C120" s="78"/>
      <c r="D120" s="78"/>
      <c r="E120" s="78"/>
    </row>
    <row r="121" spans="1:5" x14ac:dyDescent="0.35">
      <c r="A121" s="41">
        <v>46233</v>
      </c>
      <c r="B121" s="42" t="s">
        <v>1827</v>
      </c>
      <c r="C121" s="42" t="s">
        <v>1711</v>
      </c>
      <c r="D121" s="321">
        <v>9</v>
      </c>
      <c r="E121" s="42"/>
    </row>
    <row r="122" spans="1:5" x14ac:dyDescent="0.35">
      <c r="A122" s="41">
        <v>46233</v>
      </c>
      <c r="B122" s="42" t="s">
        <v>1825</v>
      </c>
      <c r="C122" s="42" t="s">
        <v>1826</v>
      </c>
      <c r="D122" s="321"/>
      <c r="E122" s="42"/>
    </row>
    <row r="123" spans="1:5" x14ac:dyDescent="0.35">
      <c r="A123" s="41">
        <v>46233</v>
      </c>
      <c r="B123" s="42" t="s">
        <v>1710</v>
      </c>
      <c r="C123" s="42" t="s">
        <v>1711</v>
      </c>
      <c r="D123" s="321"/>
      <c r="E123" s="42" t="s">
        <v>1935</v>
      </c>
    </row>
    <row r="124" spans="1:5" ht="29" x14ac:dyDescent="0.35">
      <c r="A124" s="41">
        <v>46233</v>
      </c>
      <c r="B124" s="108" t="s">
        <v>1918</v>
      </c>
      <c r="C124" s="42" t="s">
        <v>1711</v>
      </c>
      <c r="D124" s="321"/>
      <c r="E124" s="42"/>
    </row>
    <row r="125" spans="1:5" x14ac:dyDescent="0.35">
      <c r="A125" s="41">
        <v>46233</v>
      </c>
      <c r="B125" s="42" t="s">
        <v>1478</v>
      </c>
      <c r="C125" s="42" t="s">
        <v>1826</v>
      </c>
      <c r="D125" s="321"/>
      <c r="E125" s="42" t="s">
        <v>1924</v>
      </c>
    </row>
    <row r="126" spans="1:5" x14ac:dyDescent="0.35">
      <c r="A126" s="78"/>
      <c r="B126" s="78"/>
      <c r="C126" s="78"/>
      <c r="D126" s="78"/>
      <c r="E126" s="78"/>
    </row>
    <row r="127" spans="1:5" x14ac:dyDescent="0.35">
      <c r="A127" s="41">
        <v>46234</v>
      </c>
      <c r="B127" s="42" t="s">
        <v>1824</v>
      </c>
      <c r="C127" s="42" t="s">
        <v>388</v>
      </c>
      <c r="D127" s="321">
        <v>9</v>
      </c>
      <c r="E127" s="42" t="s">
        <v>1928</v>
      </c>
    </row>
    <row r="128" spans="1:5" ht="29" x14ac:dyDescent="0.35">
      <c r="A128" s="41">
        <v>46234</v>
      </c>
      <c r="B128" s="108" t="s">
        <v>1917</v>
      </c>
      <c r="C128" s="42" t="s">
        <v>1711</v>
      </c>
      <c r="D128" s="321"/>
      <c r="E128" s="42"/>
    </row>
    <row r="129" spans="1:5" ht="29" x14ac:dyDescent="0.35">
      <c r="A129" s="41">
        <v>46234</v>
      </c>
      <c r="B129" s="108" t="s">
        <v>1925</v>
      </c>
      <c r="C129" s="42" t="s">
        <v>1711</v>
      </c>
      <c r="D129" s="321"/>
      <c r="E129" s="42" t="s">
        <v>1926</v>
      </c>
    </row>
    <row r="130" spans="1:5" x14ac:dyDescent="0.35">
      <c r="A130" s="41">
        <v>46234</v>
      </c>
      <c r="B130" s="42" t="s">
        <v>1919</v>
      </c>
      <c r="C130" s="42" t="s">
        <v>1927</v>
      </c>
      <c r="D130" s="321"/>
      <c r="E130" s="42" t="s">
        <v>1921</v>
      </c>
    </row>
    <row r="131" spans="1:5" x14ac:dyDescent="0.35">
      <c r="A131" s="41">
        <v>46234</v>
      </c>
      <c r="B131" s="42" t="s">
        <v>1478</v>
      </c>
      <c r="C131" s="42" t="s">
        <v>1826</v>
      </c>
      <c r="D131" s="321"/>
      <c r="E131" s="42" t="s">
        <v>1924</v>
      </c>
    </row>
    <row r="132" spans="1:5" ht="29" x14ac:dyDescent="0.35">
      <c r="A132" s="41">
        <v>46234</v>
      </c>
      <c r="B132" s="108" t="s">
        <v>1922</v>
      </c>
      <c r="C132" s="42" t="s">
        <v>1711</v>
      </c>
      <c r="D132" s="321"/>
      <c r="E132" s="108" t="s">
        <v>1923</v>
      </c>
    </row>
    <row r="133" spans="1:5" x14ac:dyDescent="0.35">
      <c r="A133" s="78"/>
      <c r="B133" s="78"/>
      <c r="C133" s="78"/>
      <c r="D133" s="78"/>
      <c r="E133" s="78"/>
    </row>
    <row r="134" spans="1:5" x14ac:dyDescent="0.35">
      <c r="A134" s="41">
        <v>46237</v>
      </c>
      <c r="B134" s="42" t="s">
        <v>1824</v>
      </c>
      <c r="C134" s="42" t="s">
        <v>1828</v>
      </c>
      <c r="D134" s="407">
        <v>9</v>
      </c>
      <c r="E134" s="42" t="s">
        <v>1929</v>
      </c>
    </row>
    <row r="135" spans="1:5" ht="29" x14ac:dyDescent="0.35">
      <c r="A135" s="41">
        <v>46237</v>
      </c>
      <c r="B135" s="287" t="s">
        <v>1913</v>
      </c>
      <c r="C135" s="42" t="s">
        <v>388</v>
      </c>
      <c r="D135" s="408"/>
      <c r="E135" s="108" t="s">
        <v>1930</v>
      </c>
    </row>
    <row r="136" spans="1:5" ht="29" x14ac:dyDescent="0.35">
      <c r="A136" s="41">
        <v>46237</v>
      </c>
      <c r="B136" s="42" t="s">
        <v>1919</v>
      </c>
      <c r="C136" s="42" t="s">
        <v>1711</v>
      </c>
      <c r="D136" s="408"/>
      <c r="E136" s="108" t="s">
        <v>1931</v>
      </c>
    </row>
    <row r="137" spans="1:5" ht="43.5" x14ac:dyDescent="0.35">
      <c r="A137" s="41">
        <v>46237</v>
      </c>
      <c r="B137" s="108" t="s">
        <v>1920</v>
      </c>
      <c r="C137" s="42" t="s">
        <v>1826</v>
      </c>
      <c r="D137" s="408"/>
      <c r="E137" s="42"/>
    </row>
    <row r="138" spans="1:5" x14ac:dyDescent="0.35">
      <c r="A138" s="41">
        <v>46237</v>
      </c>
      <c r="B138" s="42" t="s">
        <v>1478</v>
      </c>
      <c r="C138" s="42" t="s">
        <v>1826</v>
      </c>
      <c r="D138" s="409"/>
      <c r="E138" s="42" t="s">
        <v>1924</v>
      </c>
    </row>
    <row r="139" spans="1:5" x14ac:dyDescent="0.35">
      <c r="A139" s="188"/>
      <c r="B139" s="188"/>
      <c r="C139" s="188"/>
      <c r="D139" s="188"/>
      <c r="E139" s="188"/>
    </row>
  </sheetData>
  <mergeCells count="24">
    <mergeCell ref="D127:D132"/>
    <mergeCell ref="D134:D138"/>
    <mergeCell ref="D105:D108"/>
    <mergeCell ref="D100:D103"/>
    <mergeCell ref="D96:D98"/>
    <mergeCell ref="D110:D114"/>
    <mergeCell ref="D116:D119"/>
    <mergeCell ref="D121:D125"/>
    <mergeCell ref="D90:D94"/>
    <mergeCell ref="A29:A34"/>
    <mergeCell ref="D29:D34"/>
    <mergeCell ref="D36:D40"/>
    <mergeCell ref="D42:D47"/>
    <mergeCell ref="D73:D78"/>
    <mergeCell ref="D84:D86"/>
    <mergeCell ref="D80:D82"/>
    <mergeCell ref="D3:D5"/>
    <mergeCell ref="D8:D10"/>
    <mergeCell ref="D14:D20"/>
    <mergeCell ref="D22:D27"/>
    <mergeCell ref="D66:D71"/>
    <mergeCell ref="D49:D54"/>
    <mergeCell ref="D56:D59"/>
    <mergeCell ref="D61:D6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1495FEC1CD6F941B8BE3B537DCFC6FF" ma:contentTypeVersion="10" ma:contentTypeDescription="Create a new document." ma:contentTypeScope="" ma:versionID="805d48f03e7bb9e76b8d1388c8b0147f">
  <xsd:schema xmlns:xsd="http://www.w3.org/2001/XMLSchema" xmlns:xs="http://www.w3.org/2001/XMLSchema" xmlns:p="http://schemas.microsoft.com/office/2006/metadata/properties" xmlns:ns2="e2f04ce6-5625-4773-b511-ff6e32fd78d6" xmlns:ns3="886d0db5-4d18-497d-97ce-51cb0d7fa060" targetNamespace="http://schemas.microsoft.com/office/2006/metadata/properties" ma:root="true" ma:fieldsID="9b0fc5e66fd61b7e8c1014ca482dcaef" ns2:_="" ns3:_="">
    <xsd:import namespace="e2f04ce6-5625-4773-b511-ff6e32fd78d6"/>
    <xsd:import namespace="886d0db5-4d18-497d-97ce-51cb0d7fa06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2f04ce6-5625-4773-b511-ff6e32fd78d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86d0db5-4d18-497d-97ce-51cb0d7fa060"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D68B8AC-3AF0-4985-B2D5-6D616BC31601}">
  <ds:schemaRefs>
    <ds:schemaRef ds:uri="http://schemas.microsoft.com/sharepoint/v3/contenttype/forms"/>
  </ds:schemaRefs>
</ds:datastoreItem>
</file>

<file path=customXml/itemProps2.xml><?xml version="1.0" encoding="utf-8"?>
<ds:datastoreItem xmlns:ds="http://schemas.openxmlformats.org/officeDocument/2006/customXml" ds:itemID="{DA28A3FA-5C67-4D6D-8D82-24F667FB6547}">
  <ds:schemaRefs>
    <ds:schemaRef ds:uri="http://schemas.microsoft.com/office/2006/metadata/properties"/>
    <ds:schemaRef ds:uri="http://www.w3.org/XML/1998/namespace"/>
    <ds:schemaRef ds:uri="http://purl.org/dc/terms/"/>
    <ds:schemaRef ds:uri="http://purl.org/dc/dcmitype/"/>
    <ds:schemaRef ds:uri="e2f04ce6-5625-4773-b511-ff6e32fd78d6"/>
    <ds:schemaRef ds:uri="http://schemas.microsoft.com/office/2006/documentManagement/types"/>
    <ds:schemaRef ds:uri="http://schemas.microsoft.com/office/infopath/2007/PartnerControls"/>
    <ds:schemaRef ds:uri="http://schemas.openxmlformats.org/package/2006/metadata/core-properties"/>
    <ds:schemaRef ds:uri="886d0db5-4d18-497d-97ce-51cb0d7fa060"/>
    <ds:schemaRef ds:uri="http://purl.org/dc/elements/1.1/"/>
  </ds:schemaRefs>
</ds:datastoreItem>
</file>

<file path=customXml/itemProps3.xml><?xml version="1.0" encoding="utf-8"?>
<ds:datastoreItem xmlns:ds="http://schemas.openxmlformats.org/officeDocument/2006/customXml" ds:itemID="{5C76D55D-39AF-440B-950A-919DC5B07CA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2f04ce6-5625-4773-b511-ff6e32fd78d6"/>
    <ds:schemaRef ds:uri="886d0db5-4d18-497d-97ce-51cb0d7fa06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bb5d96ea-ab39-44a0-a6d6-b6f0aac5958b}" enabled="1" method="Privileged" siteId="{76a2ae5a-9f00-4f6b-95ed-5d33d77c4d6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Ninad</vt:lpstr>
      <vt:lpstr>Vijay</vt:lpstr>
      <vt:lpstr>Inthiyaz</vt:lpstr>
      <vt:lpstr>Amin</vt:lpstr>
      <vt:lpstr>Sridhar</vt:lpstr>
      <vt:lpstr>Deepika</vt:lpstr>
      <vt:lpstr>Divya</vt:lpstr>
      <vt:lpstr>Manoj</vt:lpstr>
      <vt:lpstr>Tharun</vt:lpstr>
      <vt:lpstr>Anshu</vt:lpstr>
      <vt:lpstr>Komala</vt:lpstr>
      <vt:lpstr>Pavan</vt:lpstr>
      <vt:lpstr>Sandeep</vt:lpstr>
      <vt:lpstr>Indu</vt:lpstr>
      <vt:lpstr>Priyanka</vt:lpstr>
      <vt:lpstr>Shanmuki</vt:lpstr>
      <vt:lpstr>Susmita</vt:lpstr>
      <vt:lpstr>Ramakanth</vt:lpstr>
      <vt:lpstr>Wais</vt:lpstr>
      <vt:lpstr>Midhun</vt:lpstr>
      <vt:lpstr>Anshika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Illinda, Sridhar</dc:creator>
  <cp:keywords/>
  <dc:description/>
  <cp:lastModifiedBy>Illinda, Sridhar</cp:lastModifiedBy>
  <cp:revision/>
  <dcterms:created xsi:type="dcterms:W3CDTF">2026-07-02T11:41:21Z</dcterms:created>
  <dcterms:modified xsi:type="dcterms:W3CDTF">2026-08-05T11:34:46Z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0x01010021495FEC1CD6F941B8BE3B537DCFC6FF</vt:lpwstr>
  </property>
</Properties>
</file>